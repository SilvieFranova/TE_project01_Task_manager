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Silva_soubory\Skoleni\Testing_engeto\Ukoly\TE_project01_Task_manager\"/>
    </mc:Choice>
  </mc:AlternateContent>
  <xr:revisionPtr revIDLastSave="0" documentId="13_ncr:1_{4EAC28D3-0ADD-4F2E-8741-C713819E9212}" xr6:coauthVersionLast="47" xr6:coauthVersionMax="47" xr10:uidLastSave="{00000000-0000-0000-0000-000000000000}"/>
  <bookViews>
    <workbookView xWindow="-120" yWindow="-120" windowWidth="29040" windowHeight="17520" activeTab="1" xr2:uid="{0A98D9A3-6A31-490E-B68F-50673F0B3263}"/>
  </bookViews>
  <sheets>
    <sheet name="TEST CASE" sheetId="1" r:id="rId1"/>
    <sheet name="BUG REPORT" sheetId="3" r:id="rId2"/>
    <sheet name="POMOCNE" sheetId="2" r:id="rId3"/>
  </sheets>
  <definedNames>
    <definedName name="_xlnm._FilterDatabase" localSheetId="0" hidden="1">'TEST CASE'!$B$1:$M$25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 i="1" l="1"/>
  <c r="E28" i="1" s="1"/>
  <c r="D34" i="1"/>
  <c r="E34" i="1" s="1"/>
  <c r="D26" i="1"/>
  <c r="E26" i="1" s="1"/>
  <c r="D15" i="1"/>
  <c r="E15" i="1" s="1"/>
  <c r="D4" i="1"/>
  <c r="E4" i="1" s="1"/>
  <c r="D5" i="1"/>
  <c r="E5" i="1" s="1"/>
  <c r="D7" i="1"/>
  <c r="E7" i="1" s="1"/>
  <c r="D9" i="1"/>
  <c r="E9" i="1" s="1"/>
  <c r="D11" i="1"/>
  <c r="E11" i="1" s="1"/>
  <c r="D13" i="1"/>
  <c r="E13" i="1" s="1"/>
  <c r="D17" i="1"/>
  <c r="E17" i="1" s="1"/>
  <c r="D19" i="1"/>
  <c r="E19" i="1" s="1"/>
  <c r="D20" i="1"/>
  <c r="E20" i="1" s="1"/>
  <c r="D22" i="1"/>
  <c r="E22" i="1" s="1"/>
  <c r="D24" i="1"/>
  <c r="E24" i="1" s="1"/>
</calcChain>
</file>

<file path=xl/sharedStrings.xml><?xml version="1.0" encoding="utf-8"?>
<sst xmlns="http://schemas.openxmlformats.org/spreadsheetml/2006/main" count="334" uniqueCount="197">
  <si>
    <t>TESTOVACÍ SCÉNÁŘ</t>
  </si>
  <si>
    <t>OČEKÁVANÝ VÝSTUP</t>
  </si>
  <si>
    <t>SKUTEČNÝ VÝSTUP</t>
  </si>
  <si>
    <t>Č.KROKU</t>
  </si>
  <si>
    <t>POSTUP</t>
  </si>
  <si>
    <t>1.</t>
  </si>
  <si>
    <t>2.</t>
  </si>
  <si>
    <t>3.</t>
  </si>
  <si>
    <t>KATEGORIE</t>
  </si>
  <si>
    <t>POŽADAVKY</t>
  </si>
  <si>
    <t>RIZIKA</t>
  </si>
  <si>
    <t>POKRYTÍ</t>
  </si>
  <si>
    <t>STRATEGIE</t>
  </si>
  <si>
    <t>STANDARDY</t>
  </si>
  <si>
    <t>EXPLORATIVNÍ</t>
  </si>
  <si>
    <t>AD-HOC</t>
  </si>
  <si>
    <t>POZITIVNÍ</t>
  </si>
  <si>
    <t>NEGATIVNÍ</t>
  </si>
  <si>
    <t>HRANIČNÍ HODNOTY</t>
  </si>
  <si>
    <t>NÁZEV</t>
  </si>
  <si>
    <t>NÁSTROJE</t>
  </si>
  <si>
    <t>TESTOVACÍ DATA</t>
  </si>
  <si>
    <t>VÝSLEDEK</t>
  </si>
  <si>
    <t>TEST PROŠEL</t>
  </si>
  <si>
    <t>TEST NEPROŠEL</t>
  </si>
  <si>
    <t>BUG REPORT</t>
  </si>
  <si>
    <t>DESIGN</t>
  </si>
  <si>
    <t>OZNAČENÍ</t>
  </si>
  <si>
    <t>JMÉNO</t>
  </si>
  <si>
    <t>MĚSTO</t>
  </si>
  <si>
    <t>Jan</t>
  </si>
  <si>
    <t>Praha</t>
  </si>
  <si>
    <t>Do polí zadány uvedené hodnoty</t>
  </si>
  <si>
    <t>Potvrzení odeslání</t>
  </si>
  <si>
    <t>Vypsání výsledku</t>
  </si>
  <si>
    <t>Jmenujete se Jan a jste z Praha. Ve vašem křestním jménu je 2 samohlásek a 1 souhlásek.</t>
  </si>
  <si>
    <t>Welcome Jan from Praha. There are 1 vowels in your first name and 2 consonants in your first name and there are 2 vowels in your city and 3 consonants in your city.</t>
  </si>
  <si>
    <t>jan</t>
  </si>
  <si>
    <t>Welcome Jan from . There are 1 vowels in your first name and 2 consonants in your first name and there are 0 vowels in your city and 0 consonants in your city.</t>
  </si>
  <si>
    <t>Do polí zadány uvedené hodnoty (test krátkých hodnot)</t>
  </si>
  <si>
    <t>Aplikace vrací nesprávný výsledek</t>
  </si>
  <si>
    <t>*&amp;@</t>
  </si>
  <si>
    <t>\|#&amp;@</t>
  </si>
  <si>
    <t>Welcome *&amp;@ from \|#&amp;@. There are 0 vowels in your first name and 3 consonants in your first name and there are 0 vowels in your city and 5 consonants in your city.</t>
  </si>
  <si>
    <t>Chrome 145.0,(Win 11 CZ), Edge 145.0,(Win 11 CZ), Chrome 145.0 (Android 15)</t>
  </si>
  <si>
    <t>PRIORITIZACE</t>
  </si>
  <si>
    <t>BUG/NEJASNOST</t>
  </si>
  <si>
    <t>Aplikace by měla validovat vstup tak, aby pole obsahovalo alespoň jeden alfabetický znak.</t>
  </si>
  <si>
    <t>Kategorie 1 – UI</t>
  </si>
  <si>
    <t>Zobrazení</t>
  </si>
  <si>
    <t>Zarovnání</t>
  </si>
  <si>
    <t>Jazyk</t>
  </si>
  <si>
    <t>Kategorie 2 – Funkční logika</t>
  </si>
  <si>
    <t>Validní vstup</t>
  </si>
  <si>
    <t>Výpočet samohlásek</t>
  </si>
  <si>
    <t>Výpis výsledku</t>
  </si>
  <si>
    <t>Kategorie 3 – Validace vstupu</t>
  </si>
  <si>
    <t>Prázdné</t>
  </si>
  <si>
    <t>Mezery</t>
  </si>
  <si>
    <t>Čísla</t>
  </si>
  <si>
    <t>Spec znaky</t>
  </si>
  <si>
    <t>Case</t>
  </si>
  <si>
    <t>Enter</t>
  </si>
  <si>
    <t>KATEGORIE TESTŮ</t>
  </si>
  <si>
    <t>UI</t>
  </si>
  <si>
    <t>FUNKČNÍ LOGIKA</t>
  </si>
  <si>
    <t>VALIDACE VSTUPU</t>
  </si>
  <si>
    <t>ZKRATKA</t>
  </si>
  <si>
    <t>FUNC</t>
  </si>
  <si>
    <t>VAL</t>
  </si>
  <si>
    <t>TC</t>
  </si>
  <si>
    <t>BUG-01</t>
  </si>
  <si>
    <t>BUG-02</t>
  </si>
  <si>
    <t>BUG-03</t>
  </si>
  <si>
    <t>BUG-04</t>
  </si>
  <si>
    <t>BUG-05</t>
  </si>
  <si>
    <t>BUG-06</t>
  </si>
  <si>
    <t>BUG-07</t>
  </si>
  <si>
    <t>BUG-08</t>
  </si>
  <si>
    <t>BUG-09</t>
  </si>
  <si>
    <t>BUG-10</t>
  </si>
  <si>
    <t>ISTQB Foundation Level</t>
  </si>
  <si>
    <t>Hlavně:</t>
  </si>
  <si>
    <t>test design techniques</t>
  </si>
  <si>
    <t>ekvivalenční třídy</t>
  </si>
  <si>
    <t>hraniční hodnoty</t>
  </si>
  <si>
    <t>kategorizace podle typu testu</t>
  </si>
  <si>
    <t>📘 Testing pyramida (Mike Cohn)</t>
  </si>
  <si>
    <t>Rozdělení podle:</t>
  </si>
  <si>
    <t>unit</t>
  </si>
  <si>
    <t>integration</t>
  </si>
  <si>
    <t>system</t>
  </si>
  <si>
    <t>📘 Practical Test Management (Rex Black)</t>
  </si>
  <si>
    <t>Doporučuje:</t>
  </si>
  <si>
    <t>strukturovat podle modulů</t>
  </si>
  <si>
    <t>nepřehánět granularitu</t>
  </si>
  <si>
    <t>dělit podle rizika</t>
  </si>
  <si>
    <t>📘 Software Testing (Ron Patton)</t>
  </si>
  <si>
    <t>Praktické doporučení:</t>
  </si>
  <si>
    <t>Kategorie mají být tak jednoduché, aby jim rozuměl i nový člen týmu.</t>
  </si>
  <si>
    <t>Tady je klíčové si uvědomit:</t>
  </si>
  <si>
    <t>🔹 Validace = kontrola vstupu</t>
  </si>
  <si>
    <t>„Můžu to vůbec zpracovat?“</t>
  </si>
  <si>
    <t>🔹 Funkční logika = co aplikace udělá se správným vstupem</t>
  </si>
  <si>
    <t>„Počítá to správně? Vrací správný text?“</t>
  </si>
  <si>
    <t xml:space="preserve">Funkční vs. validační testy </t>
  </si>
  <si>
    <t>ČÍSLO</t>
  </si>
  <si>
    <t>PROPOJENÍ S TC</t>
  </si>
  <si>
    <t>Město není ve výstupu zobrazeno (Chyba se neprojevuje konzistentně)</t>
  </si>
  <si>
    <t>Není specifikována validace vstupu (speciální znaky)</t>
  </si>
  <si>
    <t>Most</t>
  </si>
  <si>
    <t>Lorem ipsum dolor sit amet, consectetur adipiscing elit. Phasellus scelerisque, velit eu efficitur egestas, purus tortor sagittis dolor, in luctus nibh purus eget dolor. Suspendisse pulvinar semper vehicula. Praesent bibendum nisl vel diam suscipit velit. Lorem ipsum dolor sit amet, consectetur adipiscing elit. Phasellus scelerisque, velit eu efficitur egestas, purus tortor sagittis dolor, in luctus nibh purus eget dolor. Suspendisse pulvinar semper vehicula. Praesent bibendum nisl vel diam suscipit velit.</t>
  </si>
  <si>
    <t>Do polí zadány uvedené hodnoty (test extrémních hodnot - 511 znaků)</t>
  </si>
  <si>
    <t>Výrazné zpomalení odezvy při delším vstupu (již od 4é+40 znaků)</t>
  </si>
  <si>
    <t>"   Jan   "</t>
  </si>
  <si>
    <t>"   Praha   "</t>
  </si>
  <si>
    <t>Do polí zadány uvedené hodnoty (test trimování)</t>
  </si>
  <si>
    <t>Welcome Jan from Praha . There are 1 vowels in your first name and 8 consonants in your first name and there are 2 vowels in your city and 9 consonants in your city.</t>
  </si>
  <si>
    <t>Odezva by měla být srovnatelná s běžným vstupem (cca 1–2 s) a neměla by výrazně přesáhnout 2–3 s.</t>
  </si>
  <si>
    <t>Naměřená průměrná odezva (3 měření):
Chrome (Win 11): 10,16 s
Edge (Win 11): 10,24 s
Android (Data + WiFi): 10,35 s
Baseline (krátký vstup):
cca 1–2 s</t>
  </si>
  <si>
    <t>BUG-11</t>
  </si>
  <si>
    <t>Špatné trimování vstupu</t>
  </si>
  <si>
    <t>FCE</t>
  </si>
  <si>
    <t>HL</t>
  </si>
  <si>
    <t>POPIS</t>
  </si>
  <si>
    <t>Spuštění aplikace</t>
  </si>
  <si>
    <t>Uživatel spustí aplikaci (dvojklik na .exe)</t>
  </si>
  <si>
    <t>VSTUP</t>
  </si>
  <si>
    <t>VSTUPNÍ PODMÍNKY</t>
  </si>
  <si>
    <t>Uživatel musí mít k dispozici spouštěcí soubor.</t>
  </si>
  <si>
    <t>--</t>
  </si>
  <si>
    <t>Uživatel dvojklikne na dodaný .exe soubor.</t>
  </si>
  <si>
    <t>hlavni_menu</t>
  </si>
  <si>
    <t>PASS</t>
  </si>
  <si>
    <t>Proběhlo spuštění aplikace.</t>
  </si>
  <si>
    <t>Napište do vstupního pole číslo 1.</t>
  </si>
  <si>
    <t>Stiskněte klávesu Enter</t>
  </si>
  <si>
    <t>Uživatel zvolí volbu 1 v hlavním menu.</t>
  </si>
  <si>
    <t>Uživatel zvolí volbu 2 v hlavním menu.</t>
  </si>
  <si>
    <t>Uživatel zvolí volbu 3 v hlavním menu.</t>
  </si>
  <si>
    <t>Uživatel zvolí volbu 4 v hlavním menu.</t>
  </si>
  <si>
    <t>Napište do vstupního pole číslo 2.</t>
  </si>
  <si>
    <t>Napište do vstupního pole číslo 4.</t>
  </si>
  <si>
    <t>Napište do vstupního pole číslo 3.</t>
  </si>
  <si>
    <t>Zobrazí se výzva "Zadejte název úkolu:" (spustí se funkce pridat_ukol()).</t>
  </si>
  <si>
    <t>Zobrazí se výzva "Konec programu" a aplikace se ukončí.</t>
  </si>
  <si>
    <t>Zobrazila se výzva "Konec programu" a aplikace se ukončila.</t>
  </si>
  <si>
    <t>Zobrazí se výzva "Seznam úkolů:", výpis všech zadaných úkolů a následně výpis hlavní volby (fce hlavni_menu()). (Spustí se funkce zobrazit_ukoly().)</t>
  </si>
  <si>
    <t>Zobrazila se výzva "Seznam úkolů:", výpis všech zadaných úkolů a následně výpis hlavní volby (fce hlavni_menu()). (Spustila se funkce zobrazit_ukoly().)</t>
  </si>
  <si>
    <t>Zobrazí se výzva "Seznam úkolů:",  výpis všech zadaných úkolů, výzva "Zadejte číslo úkolu, který chcete odstranit:", následně program vyzve uživatele k zadání (spustí se funkce odstranit_ukol()).</t>
  </si>
  <si>
    <t>Aplikace se spustí a zobrazí hlavní menu (body 1. - 4.)</t>
  </si>
  <si>
    <t>Aplikace se spustila a zobrazilo se hlavní menu (body 1. - 4.)</t>
  </si>
  <si>
    <t>Zadání volby 1</t>
  </si>
  <si>
    <t>Zadání volby 2</t>
  </si>
  <si>
    <t>Zadání volby 3</t>
  </si>
  <si>
    <t>Zadání volby 4</t>
  </si>
  <si>
    <t>Zadání neplatné číselné volby</t>
  </si>
  <si>
    <t>Napište do vstupního pole číslo 15.</t>
  </si>
  <si>
    <t>Zobrazí se výzva "Neplatný vstup, zadejte číslo 1. - 4.", program vyzve k opětovnému zadání.</t>
  </si>
  <si>
    <t>Zadání textového vstupu</t>
  </si>
  <si>
    <t>Uživatel zadá místo čísla text.</t>
  </si>
  <si>
    <t>Uživatel zadá číslo, které není uvedeno u žádné možnosti.</t>
  </si>
  <si>
    <t>abc</t>
  </si>
  <si>
    <t>Napište do vstupního pole text "abc".</t>
  </si>
  <si>
    <t>Zadání speciálních znaků</t>
  </si>
  <si>
    <t>Uživatel zadá místo čísla speciální znaky.</t>
  </si>
  <si>
    <t>*</t>
  </si>
  <si>
    <t>Prázdný vstup</t>
  </si>
  <si>
    <t>Uživatel místo čísla stiskne Enter</t>
  </si>
  <si>
    <t>Vstup s mezerami kolem čísla</t>
  </si>
  <si>
    <t>Uživatel zadá číslo s mezerami před i za.</t>
  </si>
  <si>
    <t>"  4  "</t>
  </si>
  <si>
    <t>Napište do vstupního pole text "  4  ".</t>
  </si>
  <si>
    <t>Zadání desetinného čísla</t>
  </si>
  <si>
    <t>Uživatel zadá číslo s desetinnými místy.</t>
  </si>
  <si>
    <t>Napište do vstupního pole číslo 3,14</t>
  </si>
  <si>
    <t>Zadání záporného čísla</t>
  </si>
  <si>
    <t>Uživatel zadá záporné číslo.</t>
  </si>
  <si>
    <t>Napište do vstupního pole číslo -10</t>
  </si>
  <si>
    <t>Zadání více znaků spolu s číslem</t>
  </si>
  <si>
    <t>Uživatel zadá text spolu s číslem.</t>
  </si>
  <si>
    <t>Napište do vstupního pole "1abc"</t>
  </si>
  <si>
    <t>1abc</t>
  </si>
  <si>
    <t>Opakované neplatné vstupy a následné zadání platné volby</t>
  </si>
  <si>
    <t>Uživatel zadá 2x chybný a následně správný vstup</t>
  </si>
  <si>
    <t>Napište do vstupního pole "abc"</t>
  </si>
  <si>
    <t>Napište do vstupního pole 15</t>
  </si>
  <si>
    <t>Napište do vstupního pole 4</t>
  </si>
  <si>
    <t>Napište do vstupního pole znak *.</t>
  </si>
  <si>
    <t>Zobrazila se výzva "Seznam úkolů:",  výpis všech zadaných úkolů, výzva "Zadejte číslo úkolu, který chcete odstranit:", následně program vyzval uživatele k zadání (spustila se funkce odstranit_ukol()).</t>
  </si>
  <si>
    <t>abc,15,4</t>
  </si>
  <si>
    <t>prázdný vstup</t>
  </si>
  <si>
    <t>Zobrazila se výzva "Zadejte název úkolu:" a program vyzval uživatele k zadání (spustila se funkce pridat_ukol()).</t>
  </si>
  <si>
    <t>Zobrazila se výzva "Neplatný vstup, zadejte číslo 1. - 4.", program vyzve uživatele k opětovnému zadání.</t>
  </si>
  <si>
    <t>PU</t>
  </si>
  <si>
    <t>Zadání názvu a popisu úkolu</t>
  </si>
  <si>
    <t>Uživatel zadá správný název úkolu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</si>
</sst>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Aptos Narrow"/>
      <family val="2"/>
      <charset val="238"/>
      <scheme val="minor"/>
    </font>
    <font>
      <sz val="8"/>
      <name val="Aptos Narrow"/>
      <family val="2"/>
      <charset val="238"/>
      <scheme val="minor"/>
    </font>
    <font>
      <b/>
      <sz val="11"/>
      <color theme="1"/>
      <name val="Aptos Narrow"/>
      <family val="2"/>
      <scheme val="minor"/>
    </font>
    <font>
      <b/>
      <sz val="18"/>
      <color theme="1"/>
      <name val="Aptos Narrow"/>
      <family val="2"/>
      <charset val="238"/>
      <scheme val="minor"/>
    </font>
    <font>
      <b/>
      <sz val="12"/>
      <color theme="1"/>
      <name val="Aptos Narrow"/>
      <family val="2"/>
      <scheme val="minor"/>
    </font>
    <font>
      <b/>
      <sz val="13.5"/>
      <color theme="1"/>
      <name val="Aptos Narrow"/>
      <family val="2"/>
      <charset val="238"/>
      <scheme val="minor"/>
    </font>
    <font>
      <b/>
      <sz val="24"/>
      <color theme="1"/>
      <name val="Aptos Narrow"/>
      <family val="2"/>
      <charset val="238"/>
      <scheme val="minor"/>
    </font>
    <font>
      <sz val="11"/>
      <color theme="1"/>
      <name val="Aptos Narrow"/>
      <family val="2"/>
      <scheme val="minor"/>
    </font>
  </fonts>
  <fills count="2">
    <fill>
      <patternFill patternType="none"/>
    </fill>
    <fill>
      <patternFill patternType="gray125"/>
    </fill>
  </fills>
  <borders count="13">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3" fillId="0" borderId="0" xfId="0" applyFont="1" applyAlignment="1">
      <alignment vertical="center"/>
    </xf>
    <xf numFmtId="0" fontId="0" fillId="0" borderId="0" xfId="0" applyAlignment="1">
      <alignment horizontal="left" vertical="center" indent="1"/>
    </xf>
    <xf numFmtId="0" fontId="5" fillId="0" borderId="0" xfId="0" applyFont="1" applyAlignment="1">
      <alignment vertical="center"/>
    </xf>
    <xf numFmtId="0" fontId="0" fillId="0" borderId="0" xfId="0" applyAlignment="1">
      <alignment horizontal="left" vertical="center" wrapText="1" indent="1"/>
    </xf>
    <xf numFmtId="0" fontId="6" fillId="0" borderId="0" xfId="0" applyFont="1" applyAlignment="1">
      <alignment vertical="center"/>
    </xf>
    <xf numFmtId="0" fontId="2" fillId="0" borderId="9" xfId="0" applyFont="1" applyBorder="1" applyAlignment="1">
      <alignment horizontal="center" vertic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7" fillId="0" borderId="3" xfId="0" applyFont="1" applyBorder="1" applyAlignment="1">
      <alignment vertical="center"/>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7" fillId="0" borderId="1" xfId="0" applyFont="1" applyBorder="1" applyAlignment="1">
      <alignment vertical="center" wrapText="1"/>
    </xf>
    <xf numFmtId="0" fontId="7" fillId="0" borderId="2" xfId="0" applyFont="1" applyBorder="1" applyAlignment="1">
      <alignment horizontal="center" vertical="center" wrapText="1"/>
    </xf>
    <xf numFmtId="0" fontId="7" fillId="0" borderId="2" xfId="0" applyFont="1" applyBorder="1" applyAlignment="1">
      <alignment vertical="center" wrapText="1"/>
    </xf>
    <xf numFmtId="0" fontId="7" fillId="0" borderId="0" xfId="0" applyFont="1" applyAlignment="1">
      <alignment horizontal="center" vertical="center"/>
    </xf>
    <xf numFmtId="0" fontId="7" fillId="0" borderId="3" xfId="0" applyFont="1" applyBorder="1" applyAlignment="1">
      <alignment horizontal="center" vertical="center"/>
    </xf>
    <xf numFmtId="0" fontId="7" fillId="0" borderId="3" xfId="0" applyFont="1" applyBorder="1" applyAlignment="1">
      <alignment vertical="center" wrapText="1"/>
    </xf>
    <xf numFmtId="0" fontId="7" fillId="0" borderId="0" xfId="0" applyFont="1" applyAlignment="1">
      <alignment vertical="center"/>
    </xf>
    <xf numFmtId="0" fontId="7" fillId="0" borderId="0" xfId="0" applyFont="1" applyAlignment="1">
      <alignment vertical="center" wrapText="1"/>
    </xf>
    <xf numFmtId="0" fontId="7" fillId="0" borderId="1" xfId="0" applyFont="1" applyBorder="1" applyAlignment="1">
      <alignment vertical="center"/>
    </xf>
    <xf numFmtId="0" fontId="7" fillId="0" borderId="1" xfId="0" applyFont="1" applyBorder="1" applyAlignment="1">
      <alignment wrapText="1"/>
    </xf>
    <xf numFmtId="0" fontId="7" fillId="0" borderId="0" xfId="0" applyFont="1" applyAlignment="1">
      <alignment wrapText="1"/>
    </xf>
    <xf numFmtId="164" fontId="2" fillId="0" borderId="2" xfId="0" applyNumberFormat="1" applyFont="1" applyBorder="1" applyAlignment="1">
      <alignment horizontal="center" vertical="center"/>
    </xf>
    <xf numFmtId="0" fontId="7" fillId="0" borderId="2" xfId="0" applyFont="1" applyBorder="1" applyAlignment="1">
      <alignment horizontal="center" vertical="center"/>
    </xf>
    <xf numFmtId="49" fontId="7" fillId="0" borderId="2" xfId="0" applyNumberFormat="1" applyFont="1" applyBorder="1" applyAlignment="1">
      <alignment horizontal="center" vertical="center"/>
    </xf>
    <xf numFmtId="0" fontId="7"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xf>
    <xf numFmtId="0" fontId="7" fillId="0" borderId="0" xfId="0" applyFont="1"/>
    <xf numFmtId="164" fontId="2" fillId="0" borderId="0" xfId="0" applyNumberFormat="1" applyFont="1" applyAlignment="1">
      <alignment horizontal="center" vertical="center"/>
    </xf>
    <xf numFmtId="0" fontId="7" fillId="0" borderId="0" xfId="0" quotePrefix="1" applyFont="1"/>
    <xf numFmtId="0" fontId="7" fillId="0" borderId="0" xfId="0" applyFont="1" applyAlignment="1">
      <alignment horizontal="center"/>
    </xf>
    <xf numFmtId="0" fontId="7" fillId="0" borderId="2" xfId="0" quotePrefix="1" applyFont="1" applyBorder="1" applyAlignment="1">
      <alignment horizontal="center" vertical="center"/>
    </xf>
    <xf numFmtId="0" fontId="7" fillId="0" borderId="0" xfId="0" applyFont="1" applyAlignment="1">
      <alignment horizontal="center" vertical="center"/>
    </xf>
    <xf numFmtId="0" fontId="7" fillId="0" borderId="1" xfId="0" applyFont="1" applyBorder="1" applyAlignment="1">
      <alignment horizontal="center" vertical="center"/>
    </xf>
    <xf numFmtId="0" fontId="7" fillId="0" borderId="3" xfId="0" applyFont="1" applyBorder="1" applyAlignment="1">
      <alignment horizontal="center" vertical="center"/>
    </xf>
    <xf numFmtId="49" fontId="7" fillId="0" borderId="0" xfId="0" applyNumberFormat="1" applyFont="1" applyAlignment="1">
      <alignment horizontal="center" vertical="center"/>
    </xf>
    <xf numFmtId="49" fontId="7" fillId="0" borderId="1" xfId="0" applyNumberFormat="1" applyFont="1" applyBorder="1" applyAlignment="1">
      <alignment horizontal="center" vertical="center"/>
    </xf>
    <xf numFmtId="49" fontId="7" fillId="0" borderId="3" xfId="0" applyNumberFormat="1" applyFont="1" applyBorder="1" applyAlignment="1">
      <alignment horizontal="center" vertical="center"/>
    </xf>
    <xf numFmtId="0" fontId="2" fillId="0" borderId="0" xfId="0" applyFont="1" applyAlignment="1">
      <alignment horizontal="center" vertical="center"/>
    </xf>
    <xf numFmtId="0" fontId="7" fillId="0" borderId="0" xfId="0" applyFont="1" applyAlignment="1">
      <alignment horizontal="center" vertical="center" wrapText="1"/>
    </xf>
    <xf numFmtId="0" fontId="7" fillId="0" borderId="3" xfId="0" applyFont="1" applyBorder="1" applyAlignment="1">
      <alignment horizontal="center" vertical="center" wrapText="1"/>
    </xf>
    <xf numFmtId="0" fontId="7" fillId="0" borderId="1" xfId="0" applyFont="1" applyBorder="1" applyAlignment="1">
      <alignment horizontal="center" vertical="center" wrapText="1"/>
    </xf>
    <xf numFmtId="164" fontId="2" fillId="0" borderId="3" xfId="0" applyNumberFormat="1" applyFont="1" applyBorder="1" applyAlignment="1">
      <alignment horizontal="center" vertical="center"/>
    </xf>
    <xf numFmtId="164" fontId="2" fillId="0" borderId="1" xfId="0" applyNumberFormat="1" applyFont="1" applyBorder="1" applyAlignment="1">
      <alignment horizontal="center" vertical="center"/>
    </xf>
    <xf numFmtId="164" fontId="2" fillId="0" borderId="0" xfId="0" applyNumberFormat="1"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xf>
    <xf numFmtId="0" fontId="2" fillId="0" borderId="3" xfId="0" applyFont="1" applyBorder="1" applyAlignment="1">
      <alignment horizontal="center" vertical="center"/>
    </xf>
    <xf numFmtId="0" fontId="2" fillId="0" borderId="1" xfId="0" applyFont="1" applyBorder="1" applyAlignment="1">
      <alignment horizontal="center" vertical="center"/>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0" borderId="9" xfId="0" applyFont="1" applyBorder="1" applyAlignment="1">
      <alignment horizontal="center" vertical="center" wrapText="1"/>
    </xf>
    <xf numFmtId="0" fontId="4" fillId="0" borderId="3" xfId="0" applyFont="1" applyBorder="1" applyAlignment="1">
      <alignment horizontal="center" vertical="center"/>
    </xf>
    <xf numFmtId="0" fontId="4" fillId="0" borderId="0" xfId="0" applyFont="1" applyAlignment="1">
      <alignment horizontal="center" vertical="center"/>
    </xf>
    <xf numFmtId="0" fontId="4" fillId="0" borderId="1" xfId="0" applyFont="1" applyBorder="1" applyAlignment="1">
      <alignment horizontal="center" vertical="center"/>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8" xfId="0" applyFont="1" applyBorder="1" applyAlignment="1">
      <alignment horizontal="center" vertical="center" wrapText="1"/>
    </xf>
    <xf numFmtId="0" fontId="7" fillId="0" borderId="3" xfId="0" quotePrefix="1" applyFont="1" applyBorder="1" applyAlignment="1">
      <alignment horizontal="center" vertical="center"/>
    </xf>
    <xf numFmtId="0" fontId="7" fillId="0" borderId="0" xfId="0" quotePrefix="1" applyFont="1" applyAlignment="1">
      <alignment horizontal="center" vertical="center"/>
    </xf>
    <xf numFmtId="0" fontId="7" fillId="0" borderId="1" xfId="0" quotePrefix="1" applyFont="1" applyBorder="1" applyAlignment="1">
      <alignment horizontal="center" vertical="center"/>
    </xf>
    <xf numFmtId="0" fontId="2" fillId="0" borderId="5" xfId="0" applyFont="1" applyBorder="1" applyAlignment="1">
      <alignment horizontal="center"/>
    </xf>
    <xf numFmtId="0" fontId="2" fillId="0" borderId="4" xfId="0" applyFont="1" applyBorder="1" applyAlignment="1">
      <alignment horizontal="center" vertical="center"/>
    </xf>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2" fillId="0" borderId="4" xfId="0" applyFont="1" applyBorder="1" applyAlignment="1">
      <alignment horizontal="center"/>
    </xf>
    <xf numFmtId="0" fontId="2" fillId="0" borderId="9" xfId="0" applyFont="1" applyBorder="1" applyAlignment="1">
      <alignment horizontal="center"/>
    </xf>
    <xf numFmtId="0" fontId="7" fillId="0" borderId="2" xfId="0" applyFont="1" applyBorder="1" applyAlignment="1">
      <alignment vertical="center"/>
    </xf>
    <xf numFmtId="0" fontId="2" fillId="0" borderId="2" xfId="0" applyFont="1" applyBorder="1" applyAlignment="1">
      <alignment horizontal="center" vertical="center"/>
    </xf>
    <xf numFmtId="0" fontId="2" fillId="0" borderId="3" xfId="0" applyFont="1" applyBorder="1" applyAlignment="1">
      <alignment horizontal="center" vertical="center" wrapText="1"/>
    </xf>
    <xf numFmtId="0" fontId="2" fillId="0" borderId="1" xfId="0" applyFont="1" applyBorder="1" applyAlignment="1">
      <alignment horizontal="center" vertical="center" wrapText="1"/>
    </xf>
    <xf numFmtId="49" fontId="7" fillId="0" borderId="0" xfId="0" applyNumberFormat="1" applyFont="1" applyBorder="1" applyAlignment="1">
      <alignment horizontal="center" vertical="center"/>
    </xf>
    <xf numFmtId="0" fontId="7" fillId="0" borderId="0" xfId="0" applyFont="1" applyBorder="1" applyAlignment="1">
      <alignment horizontal="center" vertical="center"/>
    </xf>
    <xf numFmtId="164" fontId="2" fillId="0" borderId="0" xfId="0" applyNumberFormat="1" applyFont="1" applyBorder="1" applyAlignment="1">
      <alignment horizontal="center" vertical="center"/>
    </xf>
    <xf numFmtId="0" fontId="7" fillId="0" borderId="0" xfId="0" applyFont="1" applyBorder="1" applyAlignment="1">
      <alignment horizontal="center" vertical="center" wrapText="1"/>
    </xf>
    <xf numFmtId="0" fontId="2" fillId="0" borderId="0" xfId="0" applyFont="1" applyBorder="1" applyAlignment="1">
      <alignment horizontal="center" vertical="center" wrapText="1"/>
    </xf>
    <xf numFmtId="0" fontId="7" fillId="0" borderId="0" xfId="0" applyFont="1" applyBorder="1" applyAlignment="1">
      <alignment horizontal="center" vertical="center"/>
    </xf>
    <xf numFmtId="0" fontId="7" fillId="0" borderId="0" xfId="0" applyFont="1" applyBorder="1" applyAlignment="1">
      <alignment vertical="center"/>
    </xf>
    <xf numFmtId="0" fontId="7" fillId="0" borderId="0" xfId="0" applyFont="1" applyBorder="1" applyAlignment="1">
      <alignment vertical="center" wrapText="1"/>
    </xf>
  </cellXfs>
  <cellStyles count="1">
    <cellStyle name="Normální"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Motiv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29B4D-5AA8-41EA-A1D7-BA21E0F605F8}">
  <sheetPr>
    <pageSetUpPr fitToPage="1"/>
  </sheetPr>
  <dimension ref="A1:O153"/>
  <sheetViews>
    <sheetView topLeftCell="A21" zoomScale="105" zoomScaleNormal="55" workbookViewId="0">
      <selection activeCell="F38" sqref="F38"/>
    </sheetView>
  </sheetViews>
  <sheetFormatPr defaultRowHeight="15" x14ac:dyDescent="0.25"/>
  <cols>
    <col min="1" max="1" width="3.42578125" style="18" bestFit="1" customWidth="1"/>
    <col min="2" max="3" width="9.140625" style="32"/>
    <col min="4" max="4" width="15.7109375" style="30" customWidth="1"/>
    <col min="5" max="5" width="15.7109375" style="31" customWidth="1"/>
    <col min="6" max="6" width="43.5703125" style="35" bestFit="1" customWidth="1"/>
    <col min="7" max="7" width="48.7109375" style="32" bestFit="1" customWidth="1"/>
    <col min="8" max="8" width="48.7109375" style="32" customWidth="1"/>
    <col min="9" max="9" width="13.5703125" style="32" bestFit="1" customWidth="1"/>
    <col min="10" max="10" width="9.28515625" style="32" bestFit="1" customWidth="1"/>
    <col min="11" max="11" width="64" style="32" customWidth="1"/>
    <col min="12" max="12" width="43.5703125" style="25" customWidth="1"/>
    <col min="13" max="13" width="46" style="25" customWidth="1"/>
    <col min="14" max="14" width="17.140625" style="35" customWidth="1"/>
    <col min="15" max="15" width="11.140625" style="18" bestFit="1" customWidth="1"/>
    <col min="16" max="16384" width="9.140625" style="32"/>
  </cols>
  <sheetData>
    <row r="1" spans="1:15" x14ac:dyDescent="0.25">
      <c r="B1" s="43" t="s">
        <v>70</v>
      </c>
      <c r="C1" s="43" t="s">
        <v>122</v>
      </c>
      <c r="D1" s="43" t="s">
        <v>106</v>
      </c>
      <c r="E1" s="43" t="s">
        <v>27</v>
      </c>
      <c r="F1" s="51" t="s">
        <v>0</v>
      </c>
      <c r="G1" s="51"/>
      <c r="H1" s="51"/>
      <c r="I1" s="51"/>
      <c r="J1" s="51"/>
      <c r="K1" s="51"/>
      <c r="L1" s="50" t="s">
        <v>1</v>
      </c>
      <c r="M1" s="50" t="s">
        <v>2</v>
      </c>
      <c r="N1" s="50" t="s">
        <v>8</v>
      </c>
      <c r="O1" s="50" t="s">
        <v>22</v>
      </c>
    </row>
    <row r="2" spans="1:15" x14ac:dyDescent="0.25">
      <c r="B2" s="43"/>
      <c r="C2" s="43"/>
      <c r="D2" s="43"/>
      <c r="E2" s="43"/>
      <c r="F2" s="43" t="s">
        <v>19</v>
      </c>
      <c r="G2" s="43" t="s">
        <v>124</v>
      </c>
      <c r="H2" s="43" t="s">
        <v>128</v>
      </c>
      <c r="I2" s="43" t="s">
        <v>127</v>
      </c>
      <c r="J2" s="43" t="s">
        <v>3</v>
      </c>
      <c r="K2" s="43" t="s">
        <v>4</v>
      </c>
      <c r="L2" s="50"/>
      <c r="M2" s="50"/>
      <c r="N2" s="50"/>
      <c r="O2" s="50"/>
    </row>
    <row r="3" spans="1:15" x14ac:dyDescent="0.25">
      <c r="B3" s="43"/>
      <c r="C3" s="43"/>
      <c r="D3" s="43"/>
      <c r="E3" s="43"/>
      <c r="F3" s="43"/>
      <c r="G3" s="43"/>
      <c r="H3" s="43"/>
      <c r="I3" s="43"/>
      <c r="J3" s="43"/>
      <c r="K3" s="43"/>
      <c r="L3" s="50"/>
      <c r="M3" s="50"/>
      <c r="N3" s="50"/>
      <c r="O3" s="50"/>
    </row>
    <row r="4" spans="1:15" s="21" customFormat="1" ht="30" x14ac:dyDescent="0.25">
      <c r="A4" s="18">
        <v>1</v>
      </c>
      <c r="B4" s="28" t="s">
        <v>70</v>
      </c>
      <c r="C4" s="28" t="s">
        <v>123</v>
      </c>
      <c r="D4" s="27">
        <f>COUNTIF($C$4:C4,C4)</f>
        <v>1</v>
      </c>
      <c r="E4" s="26" t="str">
        <f>_xlfn.TEXTJOIN("-",TRUE,B4,C4,TEXT(D4,"00"))</f>
        <v>TC-HL-01</v>
      </c>
      <c r="F4" s="27" t="s">
        <v>125</v>
      </c>
      <c r="G4" s="16" t="s">
        <v>126</v>
      </c>
      <c r="H4" s="16" t="s">
        <v>129</v>
      </c>
      <c r="I4" s="36" t="s">
        <v>130</v>
      </c>
      <c r="J4" s="27"/>
      <c r="K4" s="17" t="s">
        <v>131</v>
      </c>
      <c r="L4" s="17" t="s">
        <v>150</v>
      </c>
      <c r="M4" s="17" t="s">
        <v>151</v>
      </c>
      <c r="N4" s="27" t="s">
        <v>132</v>
      </c>
      <c r="O4" s="27" t="s">
        <v>133</v>
      </c>
    </row>
    <row r="5" spans="1:15" s="21" customFormat="1" x14ac:dyDescent="0.25">
      <c r="A5" s="37">
        <v>4</v>
      </c>
      <c r="B5" s="42" t="s">
        <v>70</v>
      </c>
      <c r="C5" s="39" t="s">
        <v>123</v>
      </c>
      <c r="D5" s="39">
        <f>COUNTIF($C$4:C5,C5)</f>
        <v>2</v>
      </c>
      <c r="E5" s="47" t="str">
        <f>_xlfn.TEXTJOIN("-",TRUE,B5,C5,TEXT(D5,"00"))</f>
        <v>TC-HL-02</v>
      </c>
      <c r="F5" s="45" t="s">
        <v>152</v>
      </c>
      <c r="G5" s="45" t="s">
        <v>137</v>
      </c>
      <c r="H5" s="45" t="s">
        <v>134</v>
      </c>
      <c r="I5" s="52">
        <v>1</v>
      </c>
      <c r="J5" s="19">
        <v>1</v>
      </c>
      <c r="K5" s="12" t="s">
        <v>135</v>
      </c>
      <c r="L5" s="20"/>
      <c r="M5" s="20"/>
      <c r="N5" s="39" t="s">
        <v>132</v>
      </c>
      <c r="O5" s="39" t="s">
        <v>133</v>
      </c>
    </row>
    <row r="6" spans="1:15" s="21" customFormat="1" ht="45" x14ac:dyDescent="0.25">
      <c r="A6" s="37"/>
      <c r="B6" s="41"/>
      <c r="C6" s="38"/>
      <c r="D6" s="38"/>
      <c r="E6" s="48"/>
      <c r="F6" s="46"/>
      <c r="G6" s="46"/>
      <c r="H6" s="46"/>
      <c r="I6" s="53"/>
      <c r="J6" s="14">
        <v>2</v>
      </c>
      <c r="K6" s="23" t="s">
        <v>136</v>
      </c>
      <c r="L6" s="15" t="s">
        <v>144</v>
      </c>
      <c r="M6" s="15" t="s">
        <v>192</v>
      </c>
      <c r="N6" s="38"/>
      <c r="O6" s="38"/>
    </row>
    <row r="7" spans="1:15" s="21" customFormat="1" x14ac:dyDescent="0.25">
      <c r="A7" s="37">
        <v>5</v>
      </c>
      <c r="B7" s="40" t="s">
        <v>70</v>
      </c>
      <c r="C7" s="37" t="s">
        <v>123</v>
      </c>
      <c r="D7" s="37">
        <f>COUNTIF($C$4:C7,C7)</f>
        <v>3</v>
      </c>
      <c r="E7" s="49" t="str">
        <f>_xlfn.TEXTJOIN("-",TRUE,B7,C7,TEXT(D7,"00"))</f>
        <v>TC-HL-03</v>
      </c>
      <c r="F7" s="45" t="s">
        <v>153</v>
      </c>
      <c r="G7" s="45" t="s">
        <v>138</v>
      </c>
      <c r="H7" s="45" t="s">
        <v>134</v>
      </c>
      <c r="I7" s="52">
        <v>2</v>
      </c>
      <c r="J7" s="18">
        <v>1</v>
      </c>
      <c r="K7" s="12" t="s">
        <v>141</v>
      </c>
      <c r="L7" s="20"/>
      <c r="M7" s="20"/>
      <c r="N7" s="39" t="s">
        <v>132</v>
      </c>
      <c r="O7" s="37" t="s">
        <v>133</v>
      </c>
    </row>
    <row r="8" spans="1:15" s="21" customFormat="1" ht="60" x14ac:dyDescent="0.25">
      <c r="A8" s="37"/>
      <c r="B8" s="41"/>
      <c r="C8" s="38"/>
      <c r="D8" s="38"/>
      <c r="E8" s="48"/>
      <c r="F8" s="46"/>
      <c r="G8" s="46"/>
      <c r="H8" s="46"/>
      <c r="I8" s="53"/>
      <c r="J8" s="14">
        <v>2</v>
      </c>
      <c r="K8" s="23" t="s">
        <v>136</v>
      </c>
      <c r="L8" s="15" t="s">
        <v>147</v>
      </c>
      <c r="M8" s="15" t="s">
        <v>148</v>
      </c>
      <c r="N8" s="38"/>
      <c r="O8" s="38"/>
    </row>
    <row r="9" spans="1:15" s="21" customFormat="1" x14ac:dyDescent="0.25">
      <c r="A9" s="37">
        <v>6</v>
      </c>
      <c r="B9" s="40" t="s">
        <v>70</v>
      </c>
      <c r="C9" s="37" t="s">
        <v>123</v>
      </c>
      <c r="D9" s="37">
        <f>COUNTIF($C$4:C9,C9)</f>
        <v>4</v>
      </c>
      <c r="E9" s="49" t="str">
        <f>_xlfn.TEXTJOIN("-",TRUE,B9,C9,TEXT(D9,"00"))</f>
        <v>TC-HL-04</v>
      </c>
      <c r="F9" s="45" t="s">
        <v>154</v>
      </c>
      <c r="G9" s="45" t="s">
        <v>139</v>
      </c>
      <c r="H9" s="45" t="s">
        <v>134</v>
      </c>
      <c r="I9" s="52">
        <v>3</v>
      </c>
      <c r="J9" s="18">
        <v>1</v>
      </c>
      <c r="K9" s="12" t="s">
        <v>143</v>
      </c>
      <c r="L9" s="20"/>
      <c r="M9" s="20"/>
      <c r="N9" s="37" t="s">
        <v>132</v>
      </c>
      <c r="O9" s="37" t="s">
        <v>133</v>
      </c>
    </row>
    <row r="10" spans="1:15" s="21" customFormat="1" ht="75" x14ac:dyDescent="0.25">
      <c r="A10" s="37"/>
      <c r="B10" s="41"/>
      <c r="C10" s="38"/>
      <c r="D10" s="38"/>
      <c r="E10" s="48"/>
      <c r="F10" s="46"/>
      <c r="G10" s="46"/>
      <c r="H10" s="46"/>
      <c r="I10" s="53"/>
      <c r="J10" s="14">
        <v>2</v>
      </c>
      <c r="K10" s="23" t="s">
        <v>136</v>
      </c>
      <c r="L10" s="15" t="s">
        <v>149</v>
      </c>
      <c r="M10" s="15" t="s">
        <v>189</v>
      </c>
      <c r="N10" s="38"/>
      <c r="O10" s="38"/>
    </row>
    <row r="11" spans="1:15" s="21" customFormat="1" x14ac:dyDescent="0.25">
      <c r="A11" s="37">
        <v>7</v>
      </c>
      <c r="B11" s="40" t="s">
        <v>70</v>
      </c>
      <c r="C11" s="37" t="s">
        <v>123</v>
      </c>
      <c r="D11" s="37">
        <f>COUNTIF($C$4:C11,C11)</f>
        <v>5</v>
      </c>
      <c r="E11" s="49" t="str">
        <f>_xlfn.TEXTJOIN("-",TRUE,B11,C11,TEXT(D11,"00"))</f>
        <v>TC-HL-05</v>
      </c>
      <c r="F11" s="45" t="s">
        <v>155</v>
      </c>
      <c r="G11" s="45" t="s">
        <v>140</v>
      </c>
      <c r="H11" s="45" t="s">
        <v>134</v>
      </c>
      <c r="I11" s="52">
        <v>4</v>
      </c>
      <c r="J11" s="18">
        <v>1</v>
      </c>
      <c r="K11" s="12" t="s">
        <v>142</v>
      </c>
      <c r="L11" s="20"/>
      <c r="M11" s="20"/>
      <c r="N11" s="37" t="s">
        <v>132</v>
      </c>
      <c r="O11" s="37" t="s">
        <v>133</v>
      </c>
    </row>
    <row r="12" spans="1:15" s="21" customFormat="1" ht="30" x14ac:dyDescent="0.25">
      <c r="A12" s="37"/>
      <c r="B12" s="41"/>
      <c r="C12" s="38"/>
      <c r="D12" s="38"/>
      <c r="E12" s="48"/>
      <c r="F12" s="46"/>
      <c r="G12" s="46"/>
      <c r="H12" s="46"/>
      <c r="I12" s="53"/>
      <c r="J12" s="14">
        <v>2</v>
      </c>
      <c r="K12" s="23" t="s">
        <v>136</v>
      </c>
      <c r="L12" s="15" t="s">
        <v>145</v>
      </c>
      <c r="M12" s="15" t="s">
        <v>146</v>
      </c>
      <c r="N12" s="38"/>
      <c r="O12" s="38"/>
    </row>
    <row r="13" spans="1:15" s="21" customFormat="1" x14ac:dyDescent="0.25">
      <c r="A13" s="37">
        <v>8</v>
      </c>
      <c r="B13" s="42" t="s">
        <v>70</v>
      </c>
      <c r="C13" s="39" t="s">
        <v>123</v>
      </c>
      <c r="D13" s="39">
        <f>COUNTIF($C$4:C13,C13)</f>
        <v>6</v>
      </c>
      <c r="E13" s="47" t="str">
        <f>_xlfn.TEXTJOIN("-",TRUE,B13,C13,TEXT(D13,"00"))</f>
        <v>TC-HL-06</v>
      </c>
      <c r="F13" s="45" t="s">
        <v>156</v>
      </c>
      <c r="G13" s="45" t="s">
        <v>161</v>
      </c>
      <c r="H13" s="45" t="s">
        <v>134</v>
      </c>
      <c r="I13" s="52">
        <v>15</v>
      </c>
      <c r="J13" s="19">
        <v>1</v>
      </c>
      <c r="K13" s="12" t="s">
        <v>157</v>
      </c>
      <c r="L13" s="20"/>
      <c r="M13" s="20"/>
      <c r="N13" s="39" t="s">
        <v>132</v>
      </c>
      <c r="O13" s="39" t="s">
        <v>133</v>
      </c>
    </row>
    <row r="14" spans="1:15" s="21" customFormat="1" ht="45" x14ac:dyDescent="0.25">
      <c r="A14" s="37"/>
      <c r="B14" s="41"/>
      <c r="C14" s="38"/>
      <c r="D14" s="38"/>
      <c r="E14" s="48"/>
      <c r="F14" s="46"/>
      <c r="G14" s="46"/>
      <c r="H14" s="46"/>
      <c r="I14" s="53"/>
      <c r="J14" s="14">
        <v>2</v>
      </c>
      <c r="K14" s="23" t="s">
        <v>136</v>
      </c>
      <c r="L14" s="15" t="s">
        <v>158</v>
      </c>
      <c r="M14" s="15" t="s">
        <v>193</v>
      </c>
      <c r="N14" s="38"/>
      <c r="O14" s="38"/>
    </row>
    <row r="15" spans="1:15" s="21" customFormat="1" x14ac:dyDescent="0.25">
      <c r="A15" s="37">
        <v>9</v>
      </c>
      <c r="B15" s="42" t="s">
        <v>70</v>
      </c>
      <c r="C15" s="39" t="s">
        <v>123</v>
      </c>
      <c r="D15" s="39">
        <f>COUNTIF($C$4:C15,C15)</f>
        <v>7</v>
      </c>
      <c r="E15" s="47" t="str">
        <f>_xlfn.TEXTJOIN("-",TRUE,B15,C15,TEXT(D15,"00"))</f>
        <v>TC-HL-07</v>
      </c>
      <c r="F15" s="45" t="s">
        <v>159</v>
      </c>
      <c r="G15" s="45" t="s">
        <v>160</v>
      </c>
      <c r="H15" s="45" t="s">
        <v>134</v>
      </c>
      <c r="I15" s="52" t="s">
        <v>162</v>
      </c>
      <c r="J15" s="19">
        <v>1</v>
      </c>
      <c r="K15" s="12" t="s">
        <v>163</v>
      </c>
      <c r="L15" s="22"/>
      <c r="M15" s="22"/>
      <c r="N15" s="39" t="s">
        <v>132</v>
      </c>
      <c r="O15" s="39" t="s">
        <v>133</v>
      </c>
    </row>
    <row r="16" spans="1:15" s="21" customFormat="1" ht="45" x14ac:dyDescent="0.25">
      <c r="A16" s="37"/>
      <c r="B16" s="41"/>
      <c r="C16" s="38"/>
      <c r="D16" s="38"/>
      <c r="E16" s="48"/>
      <c r="F16" s="46"/>
      <c r="G16" s="46"/>
      <c r="H16" s="46"/>
      <c r="I16" s="53"/>
      <c r="J16" s="14">
        <v>2</v>
      </c>
      <c r="K16" s="23" t="s">
        <v>136</v>
      </c>
      <c r="L16" s="15" t="s">
        <v>158</v>
      </c>
      <c r="M16" s="15" t="s">
        <v>193</v>
      </c>
      <c r="N16" s="38"/>
      <c r="O16" s="38"/>
    </row>
    <row r="17" spans="1:15" s="21" customFormat="1" x14ac:dyDescent="0.25">
      <c r="A17" s="37">
        <v>10</v>
      </c>
      <c r="B17" s="42" t="s">
        <v>70</v>
      </c>
      <c r="C17" s="39" t="s">
        <v>123</v>
      </c>
      <c r="D17" s="39">
        <f>COUNTIF($C$4:C17,C17)</f>
        <v>8</v>
      </c>
      <c r="E17" s="47" t="str">
        <f>_xlfn.TEXTJOIN("-",TRUE,B17,C17,TEXT(D17,"00"))</f>
        <v>TC-HL-08</v>
      </c>
      <c r="F17" s="45" t="s">
        <v>164</v>
      </c>
      <c r="G17" s="45" t="s">
        <v>165</v>
      </c>
      <c r="H17" s="45" t="s">
        <v>134</v>
      </c>
      <c r="I17" s="52" t="s">
        <v>166</v>
      </c>
      <c r="J17" s="19">
        <v>1</v>
      </c>
      <c r="K17" s="12" t="s">
        <v>188</v>
      </c>
      <c r="L17" s="22"/>
      <c r="M17" s="22"/>
      <c r="N17" s="39" t="s">
        <v>132</v>
      </c>
      <c r="O17" s="39" t="s">
        <v>133</v>
      </c>
    </row>
    <row r="18" spans="1:15" s="21" customFormat="1" ht="45" x14ac:dyDescent="0.25">
      <c r="A18" s="37"/>
      <c r="B18" s="41"/>
      <c r="C18" s="38"/>
      <c r="D18" s="38"/>
      <c r="E18" s="48"/>
      <c r="F18" s="46"/>
      <c r="G18" s="46"/>
      <c r="H18" s="46"/>
      <c r="I18" s="53"/>
      <c r="J18" s="14">
        <v>2</v>
      </c>
      <c r="K18" s="23" t="s">
        <v>136</v>
      </c>
      <c r="L18" s="15" t="s">
        <v>158</v>
      </c>
      <c r="M18" s="15" t="s">
        <v>193</v>
      </c>
      <c r="N18" s="38"/>
      <c r="O18" s="38"/>
    </row>
    <row r="19" spans="1:15" ht="45" x14ac:dyDescent="0.25">
      <c r="A19" s="18">
        <v>11</v>
      </c>
      <c r="B19" s="28" t="s">
        <v>70</v>
      </c>
      <c r="C19" s="27" t="s">
        <v>123</v>
      </c>
      <c r="D19" s="27">
        <f>COUNTIF($C$4:C19,C19)</f>
        <v>9</v>
      </c>
      <c r="E19" s="26" t="str">
        <f>_xlfn.TEXTJOIN("-",TRUE,B19,C19,TEXT(D19,"00"))</f>
        <v>TC-HL-09</v>
      </c>
      <c r="F19" s="16" t="s">
        <v>167</v>
      </c>
      <c r="G19" s="16" t="s">
        <v>168</v>
      </c>
      <c r="H19" s="16" t="s">
        <v>134</v>
      </c>
      <c r="I19" s="76" t="s">
        <v>191</v>
      </c>
      <c r="J19" s="27">
        <v>1</v>
      </c>
      <c r="K19" s="75" t="s">
        <v>136</v>
      </c>
      <c r="L19" s="15" t="s">
        <v>158</v>
      </c>
      <c r="M19" s="15" t="s">
        <v>193</v>
      </c>
      <c r="N19" s="27" t="s">
        <v>132</v>
      </c>
      <c r="O19" s="27" t="s">
        <v>133</v>
      </c>
    </row>
    <row r="20" spans="1:15" x14ac:dyDescent="0.25">
      <c r="A20" s="37">
        <v>12</v>
      </c>
      <c r="B20" s="42" t="s">
        <v>70</v>
      </c>
      <c r="C20" s="39" t="s">
        <v>123</v>
      </c>
      <c r="D20" s="39">
        <f>COUNTIF($C$4:C20,C20)</f>
        <v>10</v>
      </c>
      <c r="E20" s="47" t="str">
        <f>_xlfn.TEXTJOIN("-",TRUE,B20,C20,TEXT(D20,"00"))</f>
        <v>TC-HL-10</v>
      </c>
      <c r="F20" s="45" t="s">
        <v>169</v>
      </c>
      <c r="G20" s="45" t="s">
        <v>170</v>
      </c>
      <c r="H20" s="45" t="s">
        <v>134</v>
      </c>
      <c r="I20" s="52" t="s">
        <v>171</v>
      </c>
      <c r="J20" s="19">
        <v>1</v>
      </c>
      <c r="K20" s="12" t="s">
        <v>172</v>
      </c>
      <c r="L20" s="22"/>
      <c r="M20" s="22"/>
      <c r="N20" s="39" t="s">
        <v>132</v>
      </c>
      <c r="O20" s="39" t="s">
        <v>133</v>
      </c>
    </row>
    <row r="21" spans="1:15" ht="45" x14ac:dyDescent="0.25">
      <c r="A21" s="37"/>
      <c r="B21" s="41"/>
      <c r="C21" s="38"/>
      <c r="D21" s="38"/>
      <c r="E21" s="48"/>
      <c r="F21" s="46"/>
      <c r="G21" s="46"/>
      <c r="H21" s="46"/>
      <c r="I21" s="53"/>
      <c r="J21" s="14">
        <v>2</v>
      </c>
      <c r="K21" s="23" t="s">
        <v>136</v>
      </c>
      <c r="L21" s="15" t="s">
        <v>158</v>
      </c>
      <c r="M21" s="15" t="s">
        <v>193</v>
      </c>
      <c r="N21" s="38"/>
      <c r="O21" s="38"/>
    </row>
    <row r="22" spans="1:15" x14ac:dyDescent="0.25">
      <c r="A22" s="37">
        <v>13</v>
      </c>
      <c r="B22" s="42" t="s">
        <v>70</v>
      </c>
      <c r="C22" s="39" t="s">
        <v>123</v>
      </c>
      <c r="D22" s="39">
        <f>COUNTIF($C$4:C22,C22)</f>
        <v>11</v>
      </c>
      <c r="E22" s="47" t="str">
        <f>_xlfn.TEXTJOIN("-",TRUE,B22,C22,TEXT(D22,"00"))</f>
        <v>TC-HL-11</v>
      </c>
      <c r="F22" s="45" t="s">
        <v>173</v>
      </c>
      <c r="G22" s="45" t="s">
        <v>174</v>
      </c>
      <c r="H22" s="45" t="s">
        <v>134</v>
      </c>
      <c r="I22" s="52">
        <v>3.14</v>
      </c>
      <c r="J22" s="19">
        <v>1</v>
      </c>
      <c r="K22" s="12" t="s">
        <v>175</v>
      </c>
      <c r="L22" s="22"/>
      <c r="M22" s="22"/>
      <c r="N22" s="39" t="s">
        <v>132</v>
      </c>
      <c r="O22" s="39" t="s">
        <v>133</v>
      </c>
    </row>
    <row r="23" spans="1:15" ht="45" x14ac:dyDescent="0.25">
      <c r="A23" s="37"/>
      <c r="B23" s="41"/>
      <c r="C23" s="38"/>
      <c r="D23" s="38"/>
      <c r="E23" s="48"/>
      <c r="F23" s="46"/>
      <c r="G23" s="46"/>
      <c r="H23" s="46"/>
      <c r="I23" s="53"/>
      <c r="J23" s="14">
        <v>2</v>
      </c>
      <c r="K23" s="23" t="s">
        <v>136</v>
      </c>
      <c r="L23" s="15" t="s">
        <v>158</v>
      </c>
      <c r="M23" s="15" t="s">
        <v>193</v>
      </c>
      <c r="N23" s="38"/>
      <c r="O23" s="38"/>
    </row>
    <row r="24" spans="1:15" x14ac:dyDescent="0.25">
      <c r="A24" s="37">
        <v>14</v>
      </c>
      <c r="B24" s="42" t="s">
        <v>70</v>
      </c>
      <c r="C24" s="39" t="s">
        <v>123</v>
      </c>
      <c r="D24" s="39">
        <f>COUNTIF($C$4:C24,C24)</f>
        <v>12</v>
      </c>
      <c r="E24" s="47" t="str">
        <f>_xlfn.TEXTJOIN("-",TRUE,B24,C24,TEXT(D24,"00"))</f>
        <v>TC-HL-12</v>
      </c>
      <c r="F24" s="45" t="s">
        <v>176</v>
      </c>
      <c r="G24" s="45" t="s">
        <v>177</v>
      </c>
      <c r="H24" s="45" t="s">
        <v>134</v>
      </c>
      <c r="I24" s="77">
        <v>-10</v>
      </c>
      <c r="J24" s="19">
        <v>1</v>
      </c>
      <c r="K24" s="12" t="s">
        <v>178</v>
      </c>
      <c r="L24" s="22"/>
      <c r="M24" s="22"/>
      <c r="N24" s="39" t="s">
        <v>132</v>
      </c>
      <c r="O24" s="39" t="s">
        <v>133</v>
      </c>
    </row>
    <row r="25" spans="1:15" ht="45" x14ac:dyDescent="0.25">
      <c r="A25" s="37"/>
      <c r="B25" s="41"/>
      <c r="C25" s="38"/>
      <c r="D25" s="38"/>
      <c r="E25" s="48"/>
      <c r="F25" s="46"/>
      <c r="G25" s="46"/>
      <c r="H25" s="46"/>
      <c r="I25" s="78"/>
      <c r="J25" s="14">
        <v>2</v>
      </c>
      <c r="K25" s="23" t="s">
        <v>136</v>
      </c>
      <c r="L25" s="15" t="s">
        <v>158</v>
      </c>
      <c r="M25" s="15" t="s">
        <v>193</v>
      </c>
      <c r="N25" s="38"/>
      <c r="O25" s="38"/>
    </row>
    <row r="26" spans="1:15" x14ac:dyDescent="0.25">
      <c r="A26" s="37">
        <v>15</v>
      </c>
      <c r="B26" s="42" t="s">
        <v>70</v>
      </c>
      <c r="C26" s="39" t="s">
        <v>123</v>
      </c>
      <c r="D26" s="39">
        <f>COUNTIF($C$4:C26,C26)</f>
        <v>13</v>
      </c>
      <c r="E26" s="47" t="str">
        <f>_xlfn.TEXTJOIN("-",TRUE,B26,C26,TEXT(D26,"00"))</f>
        <v>TC-HL-13</v>
      </c>
      <c r="F26" s="45" t="s">
        <v>179</v>
      </c>
      <c r="G26" s="45" t="s">
        <v>180</v>
      </c>
      <c r="H26" s="45" t="s">
        <v>134</v>
      </c>
      <c r="I26" s="77" t="s">
        <v>182</v>
      </c>
      <c r="J26" s="19">
        <v>1</v>
      </c>
      <c r="K26" s="20" t="s">
        <v>181</v>
      </c>
      <c r="L26" s="22"/>
      <c r="M26" s="22"/>
      <c r="N26" s="39" t="s">
        <v>132</v>
      </c>
      <c r="O26" s="39" t="s">
        <v>133</v>
      </c>
    </row>
    <row r="27" spans="1:15" ht="45" x14ac:dyDescent="0.25">
      <c r="A27" s="37"/>
      <c r="B27" s="41"/>
      <c r="C27" s="38"/>
      <c r="D27" s="38"/>
      <c r="E27" s="48"/>
      <c r="F27" s="46"/>
      <c r="G27" s="46"/>
      <c r="H27" s="46"/>
      <c r="I27" s="78"/>
      <c r="J27" s="14">
        <v>2</v>
      </c>
      <c r="K27" s="23" t="s">
        <v>136</v>
      </c>
      <c r="L27" s="15" t="s">
        <v>158</v>
      </c>
      <c r="M27" s="15" t="s">
        <v>193</v>
      </c>
      <c r="N27" s="38"/>
      <c r="O27" s="38"/>
    </row>
    <row r="28" spans="1:15" x14ac:dyDescent="0.25">
      <c r="A28" s="37">
        <v>16</v>
      </c>
      <c r="B28" s="42" t="s">
        <v>70</v>
      </c>
      <c r="C28" s="39" t="s">
        <v>123</v>
      </c>
      <c r="D28" s="39">
        <f>COUNTIF($C$4:C28,C28)</f>
        <v>14</v>
      </c>
      <c r="E28" s="47" t="str">
        <f>_xlfn.TEXTJOIN("-",TRUE,B28,C28,TEXT(D28,"00"))</f>
        <v>TC-HL-14</v>
      </c>
      <c r="F28" s="45" t="s">
        <v>183</v>
      </c>
      <c r="G28" s="45" t="s">
        <v>184</v>
      </c>
      <c r="H28" s="45" t="s">
        <v>134</v>
      </c>
      <c r="I28" s="77" t="s">
        <v>190</v>
      </c>
      <c r="J28" s="19">
        <v>1</v>
      </c>
      <c r="K28" s="20" t="s">
        <v>185</v>
      </c>
      <c r="L28" s="20"/>
      <c r="M28" s="20"/>
      <c r="N28" s="39" t="s">
        <v>132</v>
      </c>
      <c r="O28" s="39" t="s">
        <v>133</v>
      </c>
    </row>
    <row r="29" spans="1:15" ht="45" x14ac:dyDescent="0.25">
      <c r="A29" s="37"/>
      <c r="B29" s="79"/>
      <c r="C29" s="80"/>
      <c r="D29" s="80"/>
      <c r="E29" s="81"/>
      <c r="F29" s="82"/>
      <c r="G29" s="82"/>
      <c r="H29" s="82"/>
      <c r="I29" s="83"/>
      <c r="J29" s="84">
        <v>2</v>
      </c>
      <c r="K29" s="85" t="s">
        <v>136</v>
      </c>
      <c r="L29" s="86" t="s">
        <v>158</v>
      </c>
      <c r="M29" s="86" t="s">
        <v>193</v>
      </c>
      <c r="N29" s="80"/>
      <c r="O29" s="80"/>
    </row>
    <row r="30" spans="1:15" x14ac:dyDescent="0.25">
      <c r="A30" s="37"/>
      <c r="B30" s="79"/>
      <c r="C30" s="80"/>
      <c r="D30" s="80"/>
      <c r="E30" s="81"/>
      <c r="F30" s="82"/>
      <c r="G30" s="82"/>
      <c r="H30" s="82"/>
      <c r="I30" s="83"/>
      <c r="J30" s="84">
        <v>3</v>
      </c>
      <c r="K30" s="85" t="s">
        <v>186</v>
      </c>
      <c r="L30" s="86"/>
      <c r="M30" s="86"/>
      <c r="N30" s="80"/>
      <c r="O30" s="80"/>
    </row>
    <row r="31" spans="1:15" ht="45" x14ac:dyDescent="0.25">
      <c r="A31" s="37"/>
      <c r="B31" s="79"/>
      <c r="C31" s="80"/>
      <c r="D31" s="80"/>
      <c r="E31" s="81"/>
      <c r="F31" s="82"/>
      <c r="G31" s="82"/>
      <c r="H31" s="82"/>
      <c r="I31" s="83"/>
      <c r="J31" s="84">
        <v>4</v>
      </c>
      <c r="K31" s="85" t="s">
        <v>136</v>
      </c>
      <c r="L31" s="86" t="s">
        <v>158</v>
      </c>
      <c r="M31" s="86" t="s">
        <v>193</v>
      </c>
      <c r="N31" s="80"/>
      <c r="O31" s="80"/>
    </row>
    <row r="32" spans="1:15" x14ac:dyDescent="0.25">
      <c r="A32" s="37"/>
      <c r="B32" s="79"/>
      <c r="C32" s="80"/>
      <c r="D32" s="80"/>
      <c r="E32" s="81"/>
      <c r="F32" s="82"/>
      <c r="G32" s="82"/>
      <c r="H32" s="82"/>
      <c r="I32" s="83"/>
      <c r="J32" s="84">
        <v>5</v>
      </c>
      <c r="K32" s="85" t="s">
        <v>187</v>
      </c>
      <c r="L32" s="86"/>
      <c r="M32" s="86"/>
      <c r="N32" s="80"/>
      <c r="O32" s="80"/>
    </row>
    <row r="33" spans="1:15" ht="30" x14ac:dyDescent="0.25">
      <c r="A33" s="37"/>
      <c r="B33" s="41"/>
      <c r="C33" s="38"/>
      <c r="D33" s="38"/>
      <c r="E33" s="48"/>
      <c r="F33" s="46"/>
      <c r="G33" s="46"/>
      <c r="H33" s="46"/>
      <c r="I33" s="78"/>
      <c r="J33" s="14">
        <v>6</v>
      </c>
      <c r="K33" s="15" t="s">
        <v>136</v>
      </c>
      <c r="L33" s="15" t="s">
        <v>145</v>
      </c>
      <c r="M33" s="15" t="s">
        <v>146</v>
      </c>
      <c r="N33" s="38"/>
      <c r="O33" s="38"/>
    </row>
    <row r="34" spans="1:15" x14ac:dyDescent="0.25">
      <c r="A34" s="37">
        <v>16</v>
      </c>
      <c r="B34" s="40" t="s">
        <v>70</v>
      </c>
      <c r="C34" s="37" t="s">
        <v>194</v>
      </c>
      <c r="D34" s="37">
        <f>COUNTIF($C$4:C34,C34)</f>
        <v>1</v>
      </c>
      <c r="E34" s="49" t="str">
        <f>_xlfn.TEXTJOIN("-",TRUE,B34,C34,TEXT(D34,"00"))</f>
        <v>TC-PU-01</v>
      </c>
      <c r="F34" s="44" t="s">
        <v>195</v>
      </c>
      <c r="G34" s="44" t="s">
        <v>196</v>
      </c>
      <c r="H34" s="29"/>
      <c r="I34" s="34"/>
      <c r="J34" s="18"/>
      <c r="K34" s="22"/>
      <c r="O34" s="37"/>
    </row>
    <row r="35" spans="1:15" x14ac:dyDescent="0.25">
      <c r="A35" s="37"/>
      <c r="B35" s="40"/>
      <c r="C35" s="37"/>
      <c r="D35" s="37"/>
      <c r="E35" s="49"/>
      <c r="F35" s="44"/>
      <c r="G35" s="44"/>
      <c r="H35" s="29"/>
      <c r="J35" s="18"/>
      <c r="K35" s="21"/>
      <c r="O35" s="37"/>
    </row>
    <row r="36" spans="1:15" x14ac:dyDescent="0.25">
      <c r="A36" s="37"/>
      <c r="B36" s="40"/>
      <c r="C36" s="37"/>
      <c r="D36" s="37"/>
      <c r="E36" s="49"/>
      <c r="F36" s="44"/>
      <c r="G36" s="44"/>
      <c r="H36" s="29"/>
      <c r="J36" s="18"/>
      <c r="K36" s="22"/>
      <c r="O36" s="37"/>
    </row>
    <row r="38" spans="1:15" x14ac:dyDescent="0.25">
      <c r="D38" s="33"/>
    </row>
    <row r="39" spans="1:15" x14ac:dyDescent="0.25">
      <c r="D39" s="33"/>
    </row>
    <row r="40" spans="1:15" x14ac:dyDescent="0.25">
      <c r="D40" s="33"/>
    </row>
    <row r="41" spans="1:15" x14ac:dyDescent="0.25">
      <c r="D41" s="33"/>
    </row>
    <row r="42" spans="1:15" x14ac:dyDescent="0.25">
      <c r="D42" s="33"/>
    </row>
    <row r="43" spans="1:15" x14ac:dyDescent="0.25">
      <c r="D43" s="33"/>
    </row>
    <row r="44" spans="1:15" x14ac:dyDescent="0.25">
      <c r="D44" s="33"/>
    </row>
    <row r="45" spans="1:15" x14ac:dyDescent="0.25">
      <c r="D45" s="33"/>
    </row>
    <row r="46" spans="1:15" x14ac:dyDescent="0.25">
      <c r="D46" s="33"/>
    </row>
    <row r="47" spans="1:15" x14ac:dyDescent="0.25">
      <c r="D47" s="33"/>
    </row>
    <row r="48" spans="1:15" x14ac:dyDescent="0.25">
      <c r="D48" s="33"/>
    </row>
    <row r="49" spans="4:4" x14ac:dyDescent="0.25">
      <c r="D49" s="33"/>
    </row>
    <row r="50" spans="4:4" x14ac:dyDescent="0.25">
      <c r="D50" s="33"/>
    </row>
    <row r="51" spans="4:4" x14ac:dyDescent="0.25">
      <c r="D51" s="33"/>
    </row>
    <row r="52" spans="4:4" x14ac:dyDescent="0.25">
      <c r="D52" s="33"/>
    </row>
    <row r="53" spans="4:4" x14ac:dyDescent="0.25">
      <c r="D53" s="33"/>
    </row>
    <row r="54" spans="4:4" x14ac:dyDescent="0.25">
      <c r="D54" s="33"/>
    </row>
    <row r="55" spans="4:4" x14ac:dyDescent="0.25">
      <c r="D55" s="33"/>
    </row>
    <row r="56" spans="4:4" x14ac:dyDescent="0.25">
      <c r="D56" s="33"/>
    </row>
    <row r="57" spans="4:4" x14ac:dyDescent="0.25">
      <c r="D57" s="33"/>
    </row>
    <row r="58" spans="4:4" x14ac:dyDescent="0.25">
      <c r="D58" s="33"/>
    </row>
    <row r="59" spans="4:4" x14ac:dyDescent="0.25">
      <c r="D59" s="33"/>
    </row>
    <row r="60" spans="4:4" x14ac:dyDescent="0.25">
      <c r="D60" s="33"/>
    </row>
    <row r="61" spans="4:4" x14ac:dyDescent="0.25">
      <c r="D61" s="33"/>
    </row>
    <row r="62" spans="4:4" x14ac:dyDescent="0.25">
      <c r="D62" s="33"/>
    </row>
    <row r="63" spans="4:4" x14ac:dyDescent="0.25">
      <c r="D63" s="33"/>
    </row>
    <row r="64" spans="4:4" x14ac:dyDescent="0.25">
      <c r="D64" s="33"/>
    </row>
    <row r="65" spans="4:4" x14ac:dyDescent="0.25">
      <c r="D65" s="33"/>
    </row>
    <row r="66" spans="4:4" x14ac:dyDescent="0.25">
      <c r="D66" s="33"/>
    </row>
    <row r="67" spans="4:4" x14ac:dyDescent="0.25">
      <c r="D67" s="33"/>
    </row>
    <row r="68" spans="4:4" x14ac:dyDescent="0.25">
      <c r="D68" s="33"/>
    </row>
    <row r="69" spans="4:4" x14ac:dyDescent="0.25">
      <c r="D69" s="33"/>
    </row>
    <row r="70" spans="4:4" x14ac:dyDescent="0.25">
      <c r="D70" s="33"/>
    </row>
    <row r="71" spans="4:4" x14ac:dyDescent="0.25">
      <c r="D71" s="33"/>
    </row>
    <row r="72" spans="4:4" x14ac:dyDescent="0.25">
      <c r="D72" s="33"/>
    </row>
    <row r="73" spans="4:4" x14ac:dyDescent="0.25">
      <c r="D73" s="33"/>
    </row>
    <row r="74" spans="4:4" x14ac:dyDescent="0.25">
      <c r="D74" s="33"/>
    </row>
    <row r="75" spans="4:4" x14ac:dyDescent="0.25">
      <c r="D75" s="33"/>
    </row>
    <row r="76" spans="4:4" x14ac:dyDescent="0.25">
      <c r="D76" s="33"/>
    </row>
    <row r="77" spans="4:4" x14ac:dyDescent="0.25">
      <c r="D77" s="33"/>
    </row>
    <row r="78" spans="4:4" x14ac:dyDescent="0.25">
      <c r="D78" s="33"/>
    </row>
    <row r="79" spans="4:4" x14ac:dyDescent="0.25">
      <c r="D79" s="33"/>
    </row>
    <row r="80" spans="4:4" x14ac:dyDescent="0.25">
      <c r="D80" s="33"/>
    </row>
    <row r="81" spans="4:4" x14ac:dyDescent="0.25">
      <c r="D81" s="33"/>
    </row>
    <row r="82" spans="4:4" x14ac:dyDescent="0.25">
      <c r="D82" s="33"/>
    </row>
    <row r="83" spans="4:4" x14ac:dyDescent="0.25">
      <c r="D83" s="33"/>
    </row>
    <row r="84" spans="4:4" x14ac:dyDescent="0.25">
      <c r="D84" s="33"/>
    </row>
    <row r="85" spans="4:4" x14ac:dyDescent="0.25">
      <c r="D85" s="33"/>
    </row>
    <row r="86" spans="4:4" x14ac:dyDescent="0.25">
      <c r="D86" s="33"/>
    </row>
    <row r="87" spans="4:4" x14ac:dyDescent="0.25">
      <c r="D87" s="33"/>
    </row>
    <row r="88" spans="4:4" x14ac:dyDescent="0.25">
      <c r="D88" s="33"/>
    </row>
    <row r="89" spans="4:4" x14ac:dyDescent="0.25">
      <c r="D89" s="33"/>
    </row>
    <row r="90" spans="4:4" x14ac:dyDescent="0.25">
      <c r="D90" s="33"/>
    </row>
    <row r="91" spans="4:4" x14ac:dyDescent="0.25">
      <c r="D91" s="33"/>
    </row>
    <row r="92" spans="4:4" x14ac:dyDescent="0.25">
      <c r="D92" s="33"/>
    </row>
    <row r="93" spans="4:4" x14ac:dyDescent="0.25">
      <c r="D93" s="33"/>
    </row>
    <row r="94" spans="4:4" x14ac:dyDescent="0.25">
      <c r="D94" s="33"/>
    </row>
    <row r="95" spans="4:4" x14ac:dyDescent="0.25">
      <c r="D95" s="33"/>
    </row>
    <row r="96" spans="4:4" x14ac:dyDescent="0.25">
      <c r="D96" s="33"/>
    </row>
    <row r="97" spans="4:4" x14ac:dyDescent="0.25">
      <c r="D97" s="33"/>
    </row>
    <row r="98" spans="4:4" x14ac:dyDescent="0.25">
      <c r="D98" s="33"/>
    </row>
    <row r="99" spans="4:4" x14ac:dyDescent="0.25">
      <c r="D99" s="33"/>
    </row>
    <row r="100" spans="4:4" x14ac:dyDescent="0.25">
      <c r="D100" s="33"/>
    </row>
    <row r="101" spans="4:4" x14ac:dyDescent="0.25">
      <c r="D101" s="33"/>
    </row>
    <row r="102" spans="4:4" x14ac:dyDescent="0.25">
      <c r="D102" s="33"/>
    </row>
    <row r="103" spans="4:4" x14ac:dyDescent="0.25">
      <c r="D103" s="33"/>
    </row>
    <row r="104" spans="4:4" x14ac:dyDescent="0.25">
      <c r="D104" s="33"/>
    </row>
    <row r="105" spans="4:4" x14ac:dyDescent="0.25">
      <c r="D105" s="33"/>
    </row>
    <row r="106" spans="4:4" x14ac:dyDescent="0.25">
      <c r="D106" s="33"/>
    </row>
    <row r="107" spans="4:4" x14ac:dyDescent="0.25">
      <c r="D107" s="33"/>
    </row>
    <row r="108" spans="4:4" x14ac:dyDescent="0.25">
      <c r="D108" s="33"/>
    </row>
    <row r="109" spans="4:4" x14ac:dyDescent="0.25">
      <c r="D109" s="33"/>
    </row>
    <row r="110" spans="4:4" x14ac:dyDescent="0.25">
      <c r="D110" s="33"/>
    </row>
    <row r="111" spans="4:4" x14ac:dyDescent="0.25">
      <c r="D111" s="33"/>
    </row>
    <row r="112" spans="4:4" x14ac:dyDescent="0.25">
      <c r="D112" s="33"/>
    </row>
    <row r="113" spans="4:4" x14ac:dyDescent="0.25">
      <c r="D113" s="33"/>
    </row>
    <row r="114" spans="4:4" x14ac:dyDescent="0.25">
      <c r="D114" s="33"/>
    </row>
    <row r="115" spans="4:4" x14ac:dyDescent="0.25">
      <c r="D115" s="33"/>
    </row>
    <row r="116" spans="4:4" x14ac:dyDescent="0.25">
      <c r="D116" s="33"/>
    </row>
    <row r="117" spans="4:4" x14ac:dyDescent="0.25">
      <c r="D117" s="33"/>
    </row>
    <row r="118" spans="4:4" x14ac:dyDescent="0.25">
      <c r="D118" s="33"/>
    </row>
    <row r="119" spans="4:4" x14ac:dyDescent="0.25">
      <c r="D119" s="33"/>
    </row>
    <row r="120" spans="4:4" x14ac:dyDescent="0.25">
      <c r="D120" s="33"/>
    </row>
    <row r="121" spans="4:4" x14ac:dyDescent="0.25">
      <c r="D121" s="33"/>
    </row>
    <row r="122" spans="4:4" x14ac:dyDescent="0.25">
      <c r="D122" s="33"/>
    </row>
    <row r="123" spans="4:4" x14ac:dyDescent="0.25">
      <c r="D123" s="33"/>
    </row>
    <row r="124" spans="4:4" x14ac:dyDescent="0.25">
      <c r="D124" s="33"/>
    </row>
    <row r="125" spans="4:4" x14ac:dyDescent="0.25">
      <c r="D125" s="33"/>
    </row>
    <row r="126" spans="4:4" x14ac:dyDescent="0.25">
      <c r="D126" s="33"/>
    </row>
    <row r="127" spans="4:4" x14ac:dyDescent="0.25">
      <c r="D127" s="33"/>
    </row>
    <row r="128" spans="4:4" x14ac:dyDescent="0.25">
      <c r="D128" s="33"/>
    </row>
    <row r="129" spans="4:4" x14ac:dyDescent="0.25">
      <c r="D129" s="33"/>
    </row>
    <row r="130" spans="4:4" x14ac:dyDescent="0.25">
      <c r="D130" s="33"/>
    </row>
    <row r="131" spans="4:4" x14ac:dyDescent="0.25">
      <c r="D131" s="33"/>
    </row>
    <row r="132" spans="4:4" x14ac:dyDescent="0.25">
      <c r="D132" s="33"/>
    </row>
    <row r="133" spans="4:4" x14ac:dyDescent="0.25">
      <c r="D133" s="33"/>
    </row>
    <row r="134" spans="4:4" x14ac:dyDescent="0.25">
      <c r="D134" s="33"/>
    </row>
    <row r="135" spans="4:4" x14ac:dyDescent="0.25">
      <c r="D135" s="33"/>
    </row>
    <row r="136" spans="4:4" x14ac:dyDescent="0.25">
      <c r="D136" s="33"/>
    </row>
    <row r="137" spans="4:4" x14ac:dyDescent="0.25">
      <c r="D137" s="33"/>
    </row>
    <row r="138" spans="4:4" x14ac:dyDescent="0.25">
      <c r="D138" s="33"/>
    </row>
    <row r="139" spans="4:4" x14ac:dyDescent="0.25">
      <c r="D139" s="33"/>
    </row>
    <row r="140" spans="4:4" x14ac:dyDescent="0.25">
      <c r="D140" s="33"/>
    </row>
    <row r="141" spans="4:4" x14ac:dyDescent="0.25">
      <c r="D141" s="33"/>
    </row>
    <row r="142" spans="4:4" x14ac:dyDescent="0.25">
      <c r="D142" s="33"/>
    </row>
    <row r="143" spans="4:4" x14ac:dyDescent="0.25">
      <c r="D143" s="33"/>
    </row>
    <row r="144" spans="4:4" x14ac:dyDescent="0.25">
      <c r="D144" s="33"/>
    </row>
    <row r="145" spans="4:4" x14ac:dyDescent="0.25">
      <c r="D145" s="33"/>
    </row>
    <row r="146" spans="4:4" x14ac:dyDescent="0.25">
      <c r="D146" s="33"/>
    </row>
    <row r="147" spans="4:4" x14ac:dyDescent="0.25">
      <c r="D147" s="33"/>
    </row>
    <row r="148" spans="4:4" x14ac:dyDescent="0.25">
      <c r="D148" s="33"/>
    </row>
    <row r="149" spans="4:4" x14ac:dyDescent="0.25">
      <c r="D149" s="33"/>
    </row>
    <row r="150" spans="4:4" x14ac:dyDescent="0.25">
      <c r="D150" s="33"/>
    </row>
    <row r="151" spans="4:4" x14ac:dyDescent="0.25">
      <c r="D151" s="33"/>
    </row>
    <row r="152" spans="4:4" x14ac:dyDescent="0.25">
      <c r="D152" s="33"/>
    </row>
    <row r="153" spans="4:4" x14ac:dyDescent="0.25">
      <c r="D153" s="33"/>
    </row>
  </sheetData>
  <mergeCells count="155">
    <mergeCell ref="N20:N21"/>
    <mergeCell ref="H22:H23"/>
    <mergeCell ref="H24:H25"/>
    <mergeCell ref="H26:H27"/>
    <mergeCell ref="N22:N23"/>
    <mergeCell ref="N24:N25"/>
    <mergeCell ref="N26:N27"/>
    <mergeCell ref="H28:H33"/>
    <mergeCell ref="N28:N33"/>
    <mergeCell ref="A5:A6"/>
    <mergeCell ref="A7:A8"/>
    <mergeCell ref="A9:A10"/>
    <mergeCell ref="A11:A12"/>
    <mergeCell ref="H13:H14"/>
    <mergeCell ref="H15:H16"/>
    <mergeCell ref="H17:H18"/>
    <mergeCell ref="N13:N14"/>
    <mergeCell ref="N15:N16"/>
    <mergeCell ref="N17:N18"/>
    <mergeCell ref="O34:O36"/>
    <mergeCell ref="A28:A33"/>
    <mergeCell ref="B28:B33"/>
    <mergeCell ref="C28:C33"/>
    <mergeCell ref="D28:D33"/>
    <mergeCell ref="E28:E33"/>
    <mergeCell ref="F28:F33"/>
    <mergeCell ref="G28:G33"/>
    <mergeCell ref="I28:I33"/>
    <mergeCell ref="O28:O33"/>
    <mergeCell ref="B34:B36"/>
    <mergeCell ref="C34:C36"/>
    <mergeCell ref="D34:D36"/>
    <mergeCell ref="E34:E36"/>
    <mergeCell ref="F34:F36"/>
    <mergeCell ref="G34:G36"/>
    <mergeCell ref="A13:A14"/>
    <mergeCell ref="A15:A16"/>
    <mergeCell ref="A17:A18"/>
    <mergeCell ref="A20:A21"/>
    <mergeCell ref="A22:A23"/>
    <mergeCell ref="A24:A25"/>
    <mergeCell ref="A26:A27"/>
    <mergeCell ref="A34:A36"/>
    <mergeCell ref="O13:O14"/>
    <mergeCell ref="O15:O16"/>
    <mergeCell ref="O17:O18"/>
    <mergeCell ref="O20:O21"/>
    <mergeCell ref="O22:O23"/>
    <mergeCell ref="O24:O25"/>
    <mergeCell ref="B26:B27"/>
    <mergeCell ref="C26:C27"/>
    <mergeCell ref="D26:D27"/>
    <mergeCell ref="E26:E27"/>
    <mergeCell ref="F26:F27"/>
    <mergeCell ref="G26:G27"/>
    <mergeCell ref="I26:I27"/>
    <mergeCell ref="O26:O27"/>
    <mergeCell ref="D22:D23"/>
    <mergeCell ref="F22:F23"/>
    <mergeCell ref="G22:G23"/>
    <mergeCell ref="I22:I23"/>
    <mergeCell ref="E22:E23"/>
    <mergeCell ref="D24:D25"/>
    <mergeCell ref="F24:F25"/>
    <mergeCell ref="G24:G25"/>
    <mergeCell ref="I24:I25"/>
    <mergeCell ref="D1:D3"/>
    <mergeCell ref="D9:D10"/>
    <mergeCell ref="D7:D8"/>
    <mergeCell ref="E7:E8"/>
    <mergeCell ref="O1:O3"/>
    <mergeCell ref="O5:O6"/>
    <mergeCell ref="O7:O8"/>
    <mergeCell ref="O9:O10"/>
    <mergeCell ref="O11:O12"/>
    <mergeCell ref="N1:N3"/>
    <mergeCell ref="M1:M3"/>
    <mergeCell ref="L1:L3"/>
    <mergeCell ref="K2:K3"/>
    <mergeCell ref="F1:K1"/>
    <mergeCell ref="F9:F10"/>
    <mergeCell ref="G9:G10"/>
    <mergeCell ref="I9:I10"/>
    <mergeCell ref="E9:E10"/>
    <mergeCell ref="I5:I6"/>
    <mergeCell ref="F7:F8"/>
    <mergeCell ref="G7:G8"/>
    <mergeCell ref="I7:I8"/>
    <mergeCell ref="J2:J3"/>
    <mergeCell ref="G2:G3"/>
    <mergeCell ref="F2:F3"/>
    <mergeCell ref="D13:D14"/>
    <mergeCell ref="F13:F14"/>
    <mergeCell ref="G13:G14"/>
    <mergeCell ref="I13:I14"/>
    <mergeCell ref="D17:D18"/>
    <mergeCell ref="D11:D12"/>
    <mergeCell ref="F11:F12"/>
    <mergeCell ref="E24:E25"/>
    <mergeCell ref="G11:G12"/>
    <mergeCell ref="I11:I12"/>
    <mergeCell ref="H20:H21"/>
    <mergeCell ref="E15:E16"/>
    <mergeCell ref="E13:E14"/>
    <mergeCell ref="E17:E18"/>
    <mergeCell ref="E20:E21"/>
    <mergeCell ref="F17:F18"/>
    <mergeCell ref="G17:G18"/>
    <mergeCell ref="I17:I18"/>
    <mergeCell ref="B5:B6"/>
    <mergeCell ref="C5:C6"/>
    <mergeCell ref="B1:B3"/>
    <mergeCell ref="C1:C3"/>
    <mergeCell ref="E1:E3"/>
    <mergeCell ref="D20:D21"/>
    <mergeCell ref="F20:F21"/>
    <mergeCell ref="G20:G21"/>
    <mergeCell ref="I20:I21"/>
    <mergeCell ref="I15:I16"/>
    <mergeCell ref="G15:G16"/>
    <mergeCell ref="F15:F16"/>
    <mergeCell ref="I2:I3"/>
    <mergeCell ref="H2:H3"/>
    <mergeCell ref="H5:H6"/>
    <mergeCell ref="G5:G6"/>
    <mergeCell ref="F5:F6"/>
    <mergeCell ref="D5:D6"/>
    <mergeCell ref="E5:E6"/>
    <mergeCell ref="H7:H8"/>
    <mergeCell ref="H9:H10"/>
    <mergeCell ref="H11:H12"/>
    <mergeCell ref="D15:D16"/>
    <mergeCell ref="E11:E12"/>
    <mergeCell ref="N11:N12"/>
    <mergeCell ref="N9:N10"/>
    <mergeCell ref="N7:N8"/>
    <mergeCell ref="N5:N6"/>
    <mergeCell ref="B22:B23"/>
    <mergeCell ref="B24:B25"/>
    <mergeCell ref="C7:C8"/>
    <mergeCell ref="C9:C10"/>
    <mergeCell ref="C11:C12"/>
    <mergeCell ref="C15:C16"/>
    <mergeCell ref="C13:C14"/>
    <mergeCell ref="C17:C18"/>
    <mergeCell ref="C20:C21"/>
    <mergeCell ref="C22:C23"/>
    <mergeCell ref="C24:C25"/>
    <mergeCell ref="B15:B16"/>
    <mergeCell ref="B13:B14"/>
    <mergeCell ref="B17:B18"/>
    <mergeCell ref="B20:B21"/>
    <mergeCell ref="B7:B8"/>
    <mergeCell ref="B9:B10"/>
    <mergeCell ref="B11:B12"/>
  </mergeCells>
  <phoneticPr fontId="1" type="noConversion"/>
  <pageMargins left="0.25" right="0.25" top="0.75" bottom="0.75" header="0.3" footer="0.3"/>
  <pageSetup paperSize="9" scale="35"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ADB99-5D0F-46B6-A861-F4B2EBAA5FF8}">
  <sheetPr>
    <pageSetUpPr fitToPage="1"/>
  </sheetPr>
  <dimension ref="A1:M32"/>
  <sheetViews>
    <sheetView tabSelected="1" zoomScale="85" zoomScaleNormal="85" workbookViewId="0">
      <selection activeCell="E5" sqref="E5"/>
    </sheetView>
  </sheetViews>
  <sheetFormatPr defaultRowHeight="15" x14ac:dyDescent="0.25"/>
  <cols>
    <col min="1" max="1" width="16.28515625" style="3" bestFit="1" customWidth="1"/>
    <col min="2" max="2" width="13.7109375" style="3" bestFit="1" customWidth="1"/>
    <col min="3" max="3" width="15.85546875" style="3" bestFit="1" customWidth="1"/>
    <col min="4" max="4" width="10.5703125" style="1" bestFit="1" customWidth="1"/>
    <col min="5" max="5" width="31" customWidth="1"/>
    <col min="6" max="6" width="43.7109375" customWidth="1"/>
    <col min="7" max="8" width="10" customWidth="1"/>
    <col min="9" max="9" width="9.28515625" bestFit="1" customWidth="1"/>
    <col min="10" max="10" width="54.85546875" customWidth="1"/>
    <col min="11" max="11" width="43.5703125" customWidth="1"/>
    <col min="12" max="12" width="61.42578125" customWidth="1"/>
  </cols>
  <sheetData>
    <row r="1" spans="1:13" x14ac:dyDescent="0.25">
      <c r="A1" s="60" t="s">
        <v>46</v>
      </c>
      <c r="B1" s="54" t="s">
        <v>45</v>
      </c>
      <c r="C1" s="54" t="s">
        <v>107</v>
      </c>
      <c r="D1" s="71" t="s">
        <v>27</v>
      </c>
      <c r="E1" s="66" t="s">
        <v>25</v>
      </c>
      <c r="F1" s="66"/>
      <c r="G1" s="66"/>
      <c r="H1" s="66"/>
      <c r="I1" s="66"/>
      <c r="J1" s="66"/>
      <c r="K1" s="54" t="s">
        <v>1</v>
      </c>
      <c r="L1" s="68" t="s">
        <v>2</v>
      </c>
    </row>
    <row r="2" spans="1:13" x14ac:dyDescent="0.25">
      <c r="A2" s="61"/>
      <c r="B2" s="55"/>
      <c r="C2" s="55"/>
      <c r="D2" s="67"/>
      <c r="E2" s="67" t="s">
        <v>19</v>
      </c>
      <c r="F2" s="67" t="s">
        <v>20</v>
      </c>
      <c r="G2" s="67" t="s">
        <v>21</v>
      </c>
      <c r="H2" s="67"/>
      <c r="I2" s="73" t="s">
        <v>3</v>
      </c>
      <c r="J2" s="73" t="s">
        <v>4</v>
      </c>
      <c r="K2" s="55"/>
      <c r="L2" s="69"/>
    </row>
    <row r="3" spans="1:13" ht="15.75" thickBot="1" x14ac:dyDescent="0.3">
      <c r="A3" s="62"/>
      <c r="B3" s="56"/>
      <c r="C3" s="56"/>
      <c r="D3" s="72"/>
      <c r="E3" s="72"/>
      <c r="F3" s="72"/>
      <c r="G3" s="9" t="s">
        <v>28</v>
      </c>
      <c r="H3" s="9" t="s">
        <v>29</v>
      </c>
      <c r="I3" s="74"/>
      <c r="J3" s="74"/>
      <c r="K3" s="56"/>
      <c r="L3" s="70"/>
    </row>
    <row r="4" spans="1:13" ht="15.75" x14ac:dyDescent="0.25">
      <c r="A4" s="14"/>
      <c r="B4" s="14"/>
      <c r="C4" s="14"/>
      <c r="D4" s="10" t="s">
        <v>71</v>
      </c>
      <c r="E4" s="13"/>
      <c r="F4" s="13"/>
      <c r="G4" s="15"/>
      <c r="H4" s="15"/>
      <c r="I4" s="13"/>
      <c r="J4" s="15"/>
      <c r="K4" s="15"/>
      <c r="L4" s="15"/>
    </row>
    <row r="5" spans="1:13" ht="15.75" x14ac:dyDescent="0.25">
      <c r="A5" s="14"/>
      <c r="B5" s="14"/>
      <c r="C5" s="14"/>
      <c r="D5" s="11" t="s">
        <v>72</v>
      </c>
      <c r="E5" s="16"/>
      <c r="F5" s="13"/>
      <c r="G5" s="17"/>
      <c r="H5" s="17"/>
      <c r="I5" s="16"/>
      <c r="J5" s="17"/>
      <c r="K5" s="17"/>
      <c r="L5" s="17"/>
    </row>
    <row r="6" spans="1:13" x14ac:dyDescent="0.25">
      <c r="A6" s="37"/>
      <c r="B6" s="37"/>
      <c r="C6" s="37"/>
      <c r="D6" s="57" t="s">
        <v>73</v>
      </c>
      <c r="E6" s="45"/>
      <c r="F6" s="45"/>
      <c r="G6" s="39"/>
      <c r="H6" s="39"/>
      <c r="I6" s="19"/>
      <c r="J6" s="12"/>
      <c r="K6" s="20"/>
      <c r="L6" s="20"/>
    </row>
    <row r="7" spans="1:13" x14ac:dyDescent="0.25">
      <c r="A7" s="37"/>
      <c r="B7" s="37"/>
      <c r="C7" s="37"/>
      <c r="D7" s="58"/>
      <c r="E7" s="44"/>
      <c r="F7" s="44"/>
      <c r="G7" s="37"/>
      <c r="H7" s="37"/>
      <c r="I7" s="18"/>
      <c r="J7" s="21"/>
      <c r="K7" s="22"/>
      <c r="L7" s="22"/>
    </row>
    <row r="8" spans="1:13" x14ac:dyDescent="0.25">
      <c r="A8" s="38"/>
      <c r="B8" s="38"/>
      <c r="C8" s="38"/>
      <c r="D8" s="59"/>
      <c r="E8" s="46"/>
      <c r="F8" s="46"/>
      <c r="G8" s="38"/>
      <c r="H8" s="38"/>
      <c r="I8" s="14"/>
      <c r="J8" s="23"/>
      <c r="K8" s="24"/>
      <c r="L8" s="15"/>
    </row>
    <row r="9" spans="1:13" x14ac:dyDescent="0.25">
      <c r="A9" s="37"/>
      <c r="B9" s="37"/>
      <c r="C9" s="37"/>
      <c r="D9" s="57" t="s">
        <v>74</v>
      </c>
      <c r="E9" s="45"/>
      <c r="F9" s="45"/>
      <c r="G9" s="39"/>
      <c r="H9" s="39"/>
      <c r="I9" s="18"/>
      <c r="J9" s="21"/>
      <c r="K9" s="22"/>
      <c r="L9" s="22"/>
    </row>
    <row r="10" spans="1:13" x14ac:dyDescent="0.25">
      <c r="A10" s="37"/>
      <c r="B10" s="37"/>
      <c r="C10" s="37"/>
      <c r="D10" s="58"/>
      <c r="E10" s="44"/>
      <c r="F10" s="44"/>
      <c r="G10" s="37"/>
      <c r="H10" s="37"/>
      <c r="I10" s="18"/>
      <c r="J10" s="21"/>
      <c r="K10" s="22"/>
      <c r="L10" s="22"/>
    </row>
    <row r="11" spans="1:13" x14ac:dyDescent="0.25">
      <c r="A11" s="38"/>
      <c r="B11" s="38"/>
      <c r="C11" s="38"/>
      <c r="D11" s="59"/>
      <c r="E11" s="46"/>
      <c r="F11" s="46"/>
      <c r="G11" s="38"/>
      <c r="H11" s="38"/>
      <c r="I11" s="14"/>
      <c r="J11" s="23"/>
      <c r="K11" s="24"/>
      <c r="L11" s="15"/>
    </row>
    <row r="12" spans="1:13" s="2" customFormat="1" x14ac:dyDescent="0.25">
      <c r="A12" s="37"/>
      <c r="B12" s="37"/>
      <c r="C12" s="37"/>
      <c r="D12" s="57" t="s">
        <v>75</v>
      </c>
      <c r="E12" s="45"/>
      <c r="F12" s="45"/>
      <c r="G12" s="39"/>
      <c r="H12" s="39"/>
      <c r="I12" s="18"/>
      <c r="J12" s="21"/>
      <c r="K12" s="22"/>
      <c r="L12" s="22"/>
    </row>
    <row r="13" spans="1:13" s="2" customFormat="1" x14ac:dyDescent="0.25">
      <c r="A13" s="37"/>
      <c r="B13" s="37"/>
      <c r="C13" s="37"/>
      <c r="D13" s="58"/>
      <c r="E13" s="44"/>
      <c r="F13" s="44"/>
      <c r="G13" s="37"/>
      <c r="H13" s="37"/>
      <c r="I13" s="18"/>
      <c r="J13" s="21"/>
      <c r="K13" s="22"/>
      <c r="L13" s="22"/>
    </row>
    <row r="14" spans="1:13" s="2" customFormat="1" x14ac:dyDescent="0.25">
      <c r="A14" s="38"/>
      <c r="B14" s="38"/>
      <c r="C14" s="38"/>
      <c r="D14" s="59"/>
      <c r="E14" s="46"/>
      <c r="F14" s="46"/>
      <c r="G14" s="38"/>
      <c r="H14" s="38"/>
      <c r="I14" s="14"/>
      <c r="J14" s="23"/>
      <c r="K14" s="24"/>
      <c r="L14" s="15"/>
      <c r="M14"/>
    </row>
    <row r="15" spans="1:13" x14ac:dyDescent="0.25">
      <c r="A15" s="37"/>
      <c r="B15" s="37"/>
      <c r="C15" s="37"/>
      <c r="D15" s="57" t="s">
        <v>76</v>
      </c>
      <c r="E15" s="45"/>
      <c r="F15" s="45"/>
      <c r="G15" s="39"/>
      <c r="H15" s="39"/>
      <c r="I15" s="18"/>
      <c r="J15" s="21"/>
      <c r="K15" s="22"/>
      <c r="L15" s="22"/>
    </row>
    <row r="16" spans="1:13" x14ac:dyDescent="0.25">
      <c r="A16" s="37"/>
      <c r="B16" s="37"/>
      <c r="C16" s="37"/>
      <c r="D16" s="58"/>
      <c r="E16" s="44"/>
      <c r="F16" s="44"/>
      <c r="G16" s="37"/>
      <c r="H16" s="37"/>
      <c r="I16" s="18"/>
      <c r="J16" s="21"/>
      <c r="K16" s="22"/>
      <c r="L16" s="22"/>
    </row>
    <row r="17" spans="1:13" x14ac:dyDescent="0.25">
      <c r="A17" s="38"/>
      <c r="B17" s="38"/>
      <c r="C17" s="38"/>
      <c r="D17" s="59"/>
      <c r="E17" s="46"/>
      <c r="F17" s="46"/>
      <c r="G17" s="38"/>
      <c r="H17" s="38"/>
      <c r="I17" s="14"/>
      <c r="J17" s="23"/>
      <c r="K17" s="24"/>
      <c r="L17" s="15"/>
    </row>
    <row r="18" spans="1:13" x14ac:dyDescent="0.25">
      <c r="A18" s="37"/>
      <c r="B18" s="37"/>
      <c r="C18" s="37"/>
      <c r="D18" s="57" t="s">
        <v>77</v>
      </c>
      <c r="E18" s="45" t="s">
        <v>109</v>
      </c>
      <c r="F18" s="45" t="s">
        <v>44</v>
      </c>
      <c r="G18" s="37" t="s">
        <v>41</v>
      </c>
      <c r="H18" s="39" t="s">
        <v>42</v>
      </c>
      <c r="I18" s="18" t="s">
        <v>5</v>
      </c>
      <c r="J18" s="21" t="s">
        <v>39</v>
      </c>
      <c r="K18" s="22"/>
      <c r="L18" s="22"/>
    </row>
    <row r="19" spans="1:13" x14ac:dyDescent="0.25">
      <c r="A19" s="37"/>
      <c r="B19" s="37"/>
      <c r="C19" s="37"/>
      <c r="D19" s="58"/>
      <c r="E19" s="44"/>
      <c r="F19" s="44"/>
      <c r="G19" s="37"/>
      <c r="H19" s="37"/>
      <c r="I19" s="18" t="s">
        <v>6</v>
      </c>
      <c r="J19" s="21" t="s">
        <v>33</v>
      </c>
      <c r="K19" s="22"/>
      <c r="L19" s="22"/>
    </row>
    <row r="20" spans="1:13" ht="45" x14ac:dyDescent="0.25">
      <c r="A20" s="38"/>
      <c r="B20" s="38"/>
      <c r="C20" s="38"/>
      <c r="D20" s="59"/>
      <c r="E20" s="46"/>
      <c r="F20" s="46"/>
      <c r="G20" s="37"/>
      <c r="H20" s="38"/>
      <c r="I20" s="14" t="s">
        <v>7</v>
      </c>
      <c r="J20" s="23" t="s">
        <v>34</v>
      </c>
      <c r="K20" s="25" t="s">
        <v>47</v>
      </c>
      <c r="L20" s="15" t="s">
        <v>43</v>
      </c>
    </row>
    <row r="21" spans="1:13" x14ac:dyDescent="0.25">
      <c r="A21" s="37"/>
      <c r="B21" s="37"/>
      <c r="C21" s="37"/>
      <c r="D21" s="57" t="s">
        <v>78</v>
      </c>
      <c r="E21" s="45" t="s">
        <v>108</v>
      </c>
      <c r="F21" s="45" t="s">
        <v>44</v>
      </c>
      <c r="G21" s="39" t="s">
        <v>37</v>
      </c>
      <c r="H21" s="39" t="s">
        <v>31</v>
      </c>
      <c r="I21" s="18" t="s">
        <v>5</v>
      </c>
      <c r="J21" s="12" t="s">
        <v>32</v>
      </c>
      <c r="K21" s="20"/>
      <c r="L21" s="20"/>
      <c r="M21" s="2"/>
    </row>
    <row r="22" spans="1:13" x14ac:dyDescent="0.25">
      <c r="A22" s="37"/>
      <c r="B22" s="37"/>
      <c r="C22" s="37"/>
      <c r="D22" s="58"/>
      <c r="E22" s="44"/>
      <c r="F22" s="44"/>
      <c r="G22" s="37"/>
      <c r="H22" s="37"/>
      <c r="I22" s="18" t="s">
        <v>6</v>
      </c>
      <c r="J22" s="21" t="s">
        <v>33</v>
      </c>
      <c r="K22" s="22"/>
      <c r="L22" s="22"/>
      <c r="M22" s="2"/>
    </row>
    <row r="23" spans="1:13" ht="45" x14ac:dyDescent="0.25">
      <c r="A23" s="38"/>
      <c r="B23" s="38"/>
      <c r="C23" s="38"/>
      <c r="D23" s="59"/>
      <c r="E23" s="46"/>
      <c r="F23" s="46"/>
      <c r="G23" s="38"/>
      <c r="H23" s="38"/>
      <c r="I23" s="18" t="s">
        <v>7</v>
      </c>
      <c r="J23" s="23" t="s">
        <v>34</v>
      </c>
      <c r="K23" s="24" t="s">
        <v>35</v>
      </c>
      <c r="L23" s="24" t="s">
        <v>38</v>
      </c>
    </row>
    <row r="24" spans="1:13" x14ac:dyDescent="0.25">
      <c r="A24" s="37"/>
      <c r="B24" s="37"/>
      <c r="C24" s="44"/>
      <c r="D24" s="57" t="s">
        <v>79</v>
      </c>
      <c r="E24" s="45" t="s">
        <v>40</v>
      </c>
      <c r="F24" s="45" t="s">
        <v>44</v>
      </c>
      <c r="G24" s="39" t="s">
        <v>30</v>
      </c>
      <c r="H24" s="39" t="s">
        <v>31</v>
      </c>
      <c r="I24" s="19" t="s">
        <v>5</v>
      </c>
      <c r="J24" s="12" t="s">
        <v>32</v>
      </c>
      <c r="K24" s="20"/>
      <c r="L24" s="20"/>
      <c r="M24" s="2"/>
    </row>
    <row r="25" spans="1:13" x14ac:dyDescent="0.25">
      <c r="A25" s="37"/>
      <c r="B25" s="37"/>
      <c r="C25" s="37"/>
      <c r="D25" s="58"/>
      <c r="E25" s="44"/>
      <c r="F25" s="44"/>
      <c r="G25" s="37"/>
      <c r="H25" s="37"/>
      <c r="I25" s="18" t="s">
        <v>6</v>
      </c>
      <c r="J25" s="21" t="s">
        <v>33</v>
      </c>
      <c r="K25" s="22"/>
      <c r="L25" s="22"/>
      <c r="M25" s="2"/>
    </row>
    <row r="26" spans="1:13" ht="84" customHeight="1" x14ac:dyDescent="0.25">
      <c r="A26" s="38"/>
      <c r="B26" s="38"/>
      <c r="C26" s="38"/>
      <c r="D26" s="59"/>
      <c r="E26" s="46"/>
      <c r="F26" s="46"/>
      <c r="G26" s="38"/>
      <c r="H26" s="38"/>
      <c r="I26" s="14" t="s">
        <v>7</v>
      </c>
      <c r="J26" s="23" t="s">
        <v>34</v>
      </c>
      <c r="K26" s="24" t="s">
        <v>35</v>
      </c>
      <c r="L26" s="15" t="s">
        <v>36</v>
      </c>
    </row>
    <row r="27" spans="1:13" ht="30" customHeight="1" x14ac:dyDescent="0.25">
      <c r="A27" s="39"/>
      <c r="B27" s="39"/>
      <c r="C27" s="45"/>
      <c r="D27" s="57" t="s">
        <v>80</v>
      </c>
      <c r="E27" s="45" t="s">
        <v>113</v>
      </c>
      <c r="F27" s="45" t="s">
        <v>44</v>
      </c>
      <c r="G27" s="45" t="s">
        <v>111</v>
      </c>
      <c r="H27" s="45" t="s">
        <v>110</v>
      </c>
      <c r="I27" s="19" t="s">
        <v>5</v>
      </c>
      <c r="J27" s="12" t="s">
        <v>112</v>
      </c>
      <c r="K27" s="20"/>
      <c r="L27" s="20"/>
    </row>
    <row r="28" spans="1:13" x14ac:dyDescent="0.25">
      <c r="A28" s="37"/>
      <c r="B28" s="37"/>
      <c r="C28" s="37"/>
      <c r="D28" s="58"/>
      <c r="E28" s="44"/>
      <c r="F28" s="44"/>
      <c r="G28" s="44"/>
      <c r="H28" s="44"/>
      <c r="I28" s="18" t="s">
        <v>6</v>
      </c>
      <c r="J28" s="21" t="s">
        <v>33</v>
      </c>
      <c r="K28" s="22"/>
      <c r="L28" s="22"/>
    </row>
    <row r="29" spans="1:13" ht="90" x14ac:dyDescent="0.25">
      <c r="A29" s="38"/>
      <c r="B29" s="38"/>
      <c r="C29" s="38"/>
      <c r="D29" s="58"/>
      <c r="E29" s="44"/>
      <c r="F29" s="46"/>
      <c r="G29" s="46"/>
      <c r="H29" s="46"/>
      <c r="I29" s="14" t="s">
        <v>7</v>
      </c>
      <c r="J29" s="23" t="s">
        <v>34</v>
      </c>
      <c r="K29" s="24" t="s">
        <v>118</v>
      </c>
      <c r="L29" s="24" t="s">
        <v>119</v>
      </c>
    </row>
    <row r="30" spans="1:13" x14ac:dyDescent="0.25">
      <c r="A30" s="39"/>
      <c r="B30" s="39"/>
      <c r="C30" s="45"/>
      <c r="D30" s="57" t="s">
        <v>120</v>
      </c>
      <c r="E30" s="45" t="s">
        <v>121</v>
      </c>
      <c r="F30" s="45" t="s">
        <v>44</v>
      </c>
      <c r="G30" s="63" t="s">
        <v>114</v>
      </c>
      <c r="H30" s="39" t="s">
        <v>115</v>
      </c>
      <c r="I30" s="19" t="s">
        <v>5</v>
      </c>
      <c r="J30" s="20" t="s">
        <v>116</v>
      </c>
      <c r="K30" s="25"/>
      <c r="L30" s="25"/>
    </row>
    <row r="31" spans="1:13" x14ac:dyDescent="0.25">
      <c r="A31" s="37"/>
      <c r="B31" s="37"/>
      <c r="C31" s="37"/>
      <c r="D31" s="58"/>
      <c r="E31" s="44"/>
      <c r="F31" s="44"/>
      <c r="G31" s="64"/>
      <c r="H31" s="37"/>
      <c r="I31" s="18" t="s">
        <v>6</v>
      </c>
      <c r="J31" s="21" t="s">
        <v>33</v>
      </c>
      <c r="K31" s="25"/>
      <c r="L31" s="25"/>
    </row>
    <row r="32" spans="1:13" ht="45" x14ac:dyDescent="0.25">
      <c r="A32" s="38"/>
      <c r="B32" s="38"/>
      <c r="C32" s="38"/>
      <c r="D32" s="59"/>
      <c r="E32" s="46"/>
      <c r="F32" s="46"/>
      <c r="G32" s="65"/>
      <c r="H32" s="38"/>
      <c r="I32" s="14" t="s">
        <v>7</v>
      </c>
      <c r="J32" s="15" t="s">
        <v>34</v>
      </c>
      <c r="K32" s="24" t="s">
        <v>35</v>
      </c>
      <c r="L32" s="24" t="s">
        <v>117</v>
      </c>
    </row>
  </sheetData>
  <mergeCells count="84">
    <mergeCell ref="C27:C29"/>
    <mergeCell ref="E30:E32"/>
    <mergeCell ref="D30:D32"/>
    <mergeCell ref="C30:C32"/>
    <mergeCell ref="E27:E29"/>
    <mergeCell ref="D27:D29"/>
    <mergeCell ref="E1:J1"/>
    <mergeCell ref="G2:H2"/>
    <mergeCell ref="L1:L3"/>
    <mergeCell ref="K1:K3"/>
    <mergeCell ref="D1:D3"/>
    <mergeCell ref="F2:F3"/>
    <mergeCell ref="E2:E3"/>
    <mergeCell ref="J2:J3"/>
    <mergeCell ref="I2:I3"/>
    <mergeCell ref="D24:D26"/>
    <mergeCell ref="H30:H32"/>
    <mergeCell ref="G30:G32"/>
    <mergeCell ref="F30:F32"/>
    <mergeCell ref="F27:F29"/>
    <mergeCell ref="G27:G29"/>
    <mergeCell ref="H27:H29"/>
    <mergeCell ref="E24:E26"/>
    <mergeCell ref="H24:H26"/>
    <mergeCell ref="G24:G26"/>
    <mergeCell ref="F24:F26"/>
    <mergeCell ref="D6:D8"/>
    <mergeCell ref="E6:E8"/>
    <mergeCell ref="F6:F8"/>
    <mergeCell ref="G6:G8"/>
    <mergeCell ref="H6:H8"/>
    <mergeCell ref="E9:E11"/>
    <mergeCell ref="F9:F11"/>
    <mergeCell ref="G9:G11"/>
    <mergeCell ref="H9:H11"/>
    <mergeCell ref="D12:D14"/>
    <mergeCell ref="E12:E14"/>
    <mergeCell ref="F12:F14"/>
    <mergeCell ref="G12:G14"/>
    <mergeCell ref="H12:H14"/>
    <mergeCell ref="D9:D11"/>
    <mergeCell ref="D18:D20"/>
    <mergeCell ref="E18:E20"/>
    <mergeCell ref="F18:F20"/>
    <mergeCell ref="G18:G20"/>
    <mergeCell ref="H18:H20"/>
    <mergeCell ref="D15:D17"/>
    <mergeCell ref="E15:E17"/>
    <mergeCell ref="F15:F17"/>
    <mergeCell ref="G15:G17"/>
    <mergeCell ref="H15:H17"/>
    <mergeCell ref="B1:B3"/>
    <mergeCell ref="B6:B8"/>
    <mergeCell ref="B9:B11"/>
    <mergeCell ref="B12:B14"/>
    <mergeCell ref="B15:B17"/>
    <mergeCell ref="B18:B20"/>
    <mergeCell ref="B21:B23"/>
    <mergeCell ref="B24:B26"/>
    <mergeCell ref="B27:B29"/>
    <mergeCell ref="B30:B32"/>
    <mergeCell ref="A18:A20"/>
    <mergeCell ref="A21:A23"/>
    <mergeCell ref="A24:A26"/>
    <mergeCell ref="A27:A29"/>
    <mergeCell ref="A30:A32"/>
    <mergeCell ref="A1:A3"/>
    <mergeCell ref="A6:A8"/>
    <mergeCell ref="A9:A11"/>
    <mergeCell ref="A12:A14"/>
    <mergeCell ref="A15:A17"/>
    <mergeCell ref="H21:H23"/>
    <mergeCell ref="D21:D23"/>
    <mergeCell ref="E21:E23"/>
    <mergeCell ref="F21:F23"/>
    <mergeCell ref="G21:G23"/>
    <mergeCell ref="C18:C20"/>
    <mergeCell ref="C21:C23"/>
    <mergeCell ref="C24:C26"/>
    <mergeCell ref="C1:C3"/>
    <mergeCell ref="C6:C8"/>
    <mergeCell ref="C9:C11"/>
    <mergeCell ref="C12:C14"/>
    <mergeCell ref="C15:C17"/>
  </mergeCells>
  <phoneticPr fontId="1" type="noConversion"/>
  <pageMargins left="0.25" right="0.25" top="0.75" bottom="0.75" header="0.3" footer="0.3"/>
  <pageSetup paperSize="9" scale="44"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0A17E-22ED-413A-8FE8-996D295C601D}">
  <dimension ref="A1:J38"/>
  <sheetViews>
    <sheetView workbookViewId="0">
      <selection activeCell="I20" sqref="I20"/>
    </sheetView>
  </sheetViews>
  <sheetFormatPr defaultRowHeight="15" x14ac:dyDescent="0.25"/>
  <cols>
    <col min="1" max="1" width="19.28515625" bestFit="1" customWidth="1"/>
    <col min="2" max="2" width="2" customWidth="1"/>
    <col min="3" max="3" width="18" customWidth="1"/>
    <col min="4" max="4" width="2" customWidth="1"/>
    <col min="5" max="5" width="16.7109375" bestFit="1" customWidth="1"/>
    <col min="6" max="6" width="9.5703125" customWidth="1"/>
    <col min="7" max="7" width="2.42578125" customWidth="1"/>
    <col min="8" max="8" width="43.5703125" bestFit="1" customWidth="1"/>
    <col min="9" max="9" width="66.85546875" bestFit="1" customWidth="1"/>
    <col min="10" max="10" width="39.28515625" customWidth="1"/>
  </cols>
  <sheetData>
    <row r="1" spans="1:10" ht="31.5" x14ac:dyDescent="0.25">
      <c r="A1" t="s">
        <v>12</v>
      </c>
      <c r="C1" t="s">
        <v>22</v>
      </c>
      <c r="E1" t="s">
        <v>63</v>
      </c>
      <c r="F1" t="s">
        <v>67</v>
      </c>
      <c r="H1" s="4" t="s">
        <v>48</v>
      </c>
      <c r="I1" s="8" t="s">
        <v>105</v>
      </c>
      <c r="J1" s="6" t="s">
        <v>81</v>
      </c>
    </row>
    <row r="2" spans="1:10" x14ac:dyDescent="0.25">
      <c r="H2" s="5"/>
      <c r="I2" t="s">
        <v>100</v>
      </c>
      <c r="J2" t="s">
        <v>82</v>
      </c>
    </row>
    <row r="3" spans="1:10" ht="18" x14ac:dyDescent="0.25">
      <c r="A3" t="s">
        <v>9</v>
      </c>
      <c r="C3" t="s">
        <v>23</v>
      </c>
      <c r="E3" t="s">
        <v>64</v>
      </c>
      <c r="F3" t="s">
        <v>64</v>
      </c>
      <c r="H3" s="5" t="s">
        <v>49</v>
      </c>
      <c r="I3" s="6" t="s">
        <v>101</v>
      </c>
      <c r="J3" s="5" t="s">
        <v>83</v>
      </c>
    </row>
    <row r="4" spans="1:10" x14ac:dyDescent="0.25">
      <c r="A4" t="s">
        <v>16</v>
      </c>
      <c r="C4" t="s">
        <v>24</v>
      </c>
      <c r="E4" t="s">
        <v>65</v>
      </c>
      <c r="F4" t="s">
        <v>68</v>
      </c>
      <c r="H4" s="5" t="s">
        <v>50</v>
      </c>
      <c r="I4" t="s">
        <v>102</v>
      </c>
      <c r="J4" s="5" t="s">
        <v>84</v>
      </c>
    </row>
    <row r="5" spans="1:10" ht="18" x14ac:dyDescent="0.25">
      <c r="A5" t="s">
        <v>17</v>
      </c>
      <c r="E5" t="s">
        <v>66</v>
      </c>
      <c r="F5" t="s">
        <v>69</v>
      </c>
      <c r="H5" s="5" t="s">
        <v>51</v>
      </c>
      <c r="I5" s="6" t="s">
        <v>103</v>
      </c>
      <c r="J5" s="5" t="s">
        <v>85</v>
      </c>
    </row>
    <row r="6" spans="1:10" x14ac:dyDescent="0.25">
      <c r="A6" t="s">
        <v>10</v>
      </c>
      <c r="H6" s="5"/>
      <c r="I6" t="s">
        <v>104</v>
      </c>
      <c r="J6" s="5" t="s">
        <v>86</v>
      </c>
    </row>
    <row r="7" spans="1:10" ht="24" x14ac:dyDescent="0.25">
      <c r="A7" t="s">
        <v>11</v>
      </c>
      <c r="H7" s="4" t="s">
        <v>52</v>
      </c>
      <c r="J7" s="6" t="s">
        <v>87</v>
      </c>
    </row>
    <row r="8" spans="1:10" x14ac:dyDescent="0.25">
      <c r="A8" t="s">
        <v>13</v>
      </c>
      <c r="J8" t="s">
        <v>88</v>
      </c>
    </row>
    <row r="9" spans="1:10" x14ac:dyDescent="0.25">
      <c r="A9" t="s">
        <v>14</v>
      </c>
      <c r="H9" s="5" t="s">
        <v>53</v>
      </c>
      <c r="J9" s="5" t="s">
        <v>89</v>
      </c>
    </row>
    <row r="10" spans="1:10" x14ac:dyDescent="0.25">
      <c r="A10" t="s">
        <v>15</v>
      </c>
      <c r="H10" s="5" t="s">
        <v>54</v>
      </c>
      <c r="J10" s="5" t="s">
        <v>90</v>
      </c>
    </row>
    <row r="11" spans="1:10" x14ac:dyDescent="0.25">
      <c r="A11" t="s">
        <v>18</v>
      </c>
      <c r="H11" s="5" t="s">
        <v>55</v>
      </c>
      <c r="J11" s="5" t="s">
        <v>91</v>
      </c>
    </row>
    <row r="12" spans="1:10" x14ac:dyDescent="0.25">
      <c r="A12" t="s">
        <v>26</v>
      </c>
      <c r="H12" s="5"/>
      <c r="J12" s="5" t="s">
        <v>64</v>
      </c>
    </row>
    <row r="13" spans="1:10" ht="24" x14ac:dyDescent="0.25">
      <c r="H13" s="4" t="s">
        <v>56</v>
      </c>
      <c r="J13" s="6" t="s">
        <v>92</v>
      </c>
    </row>
    <row r="14" spans="1:10" x14ac:dyDescent="0.25">
      <c r="H14" s="5"/>
      <c r="J14" t="s">
        <v>93</v>
      </c>
    </row>
    <row r="15" spans="1:10" x14ac:dyDescent="0.25">
      <c r="H15" s="5" t="s">
        <v>57</v>
      </c>
      <c r="J15" s="5" t="s">
        <v>94</v>
      </c>
    </row>
    <row r="16" spans="1:10" x14ac:dyDescent="0.25">
      <c r="H16" s="5" t="s">
        <v>58</v>
      </c>
      <c r="J16" s="5" t="s">
        <v>95</v>
      </c>
    </row>
    <row r="17" spans="8:10" x14ac:dyDescent="0.25">
      <c r="H17" s="5" t="s">
        <v>59</v>
      </c>
      <c r="J17" s="5" t="s">
        <v>96</v>
      </c>
    </row>
    <row r="18" spans="8:10" ht="18" x14ac:dyDescent="0.25">
      <c r="H18" s="5" t="s">
        <v>60</v>
      </c>
      <c r="J18" s="6" t="s">
        <v>97</v>
      </c>
    </row>
    <row r="19" spans="8:10" x14ac:dyDescent="0.25">
      <c r="H19" s="5" t="s">
        <v>61</v>
      </c>
      <c r="J19" t="s">
        <v>98</v>
      </c>
    </row>
    <row r="20" spans="8:10" ht="30" x14ac:dyDescent="0.25">
      <c r="H20" s="5" t="s">
        <v>62</v>
      </c>
      <c r="J20" s="7" t="s">
        <v>99</v>
      </c>
    </row>
    <row r="22" spans="8:10" x14ac:dyDescent="0.25">
      <c r="H22" s="5"/>
      <c r="J22" s="5"/>
    </row>
    <row r="24" spans="8:10" x14ac:dyDescent="0.25">
      <c r="H24" s="5"/>
    </row>
    <row r="26" spans="8:10" x14ac:dyDescent="0.25">
      <c r="H26" s="5"/>
    </row>
    <row r="28" spans="8:10" x14ac:dyDescent="0.25">
      <c r="H28" s="5"/>
      <c r="J28" s="5"/>
    </row>
    <row r="30" spans="8:10" x14ac:dyDescent="0.25">
      <c r="J30" s="5"/>
    </row>
    <row r="32" spans="8:10" x14ac:dyDescent="0.25">
      <c r="J32" s="5"/>
    </row>
    <row r="38" spans="10:10" x14ac:dyDescent="0.25">
      <c r="J38" s="5"/>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3</vt:i4>
      </vt:variant>
    </vt:vector>
  </HeadingPairs>
  <TitlesOfParts>
    <vt:vector size="3" baseType="lpstr">
      <vt:lpstr>TEST CASE</vt:lpstr>
      <vt:lpstr>BUG REPORT</vt:lpstr>
      <vt:lpstr>POMOCNE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Ing. Fránová Silvie</dc:creator>
  <cp:lastModifiedBy>Ing. Fránová Silvie</cp:lastModifiedBy>
  <cp:lastPrinted>2026-03-26T07:55:17Z</cp:lastPrinted>
  <dcterms:created xsi:type="dcterms:W3CDTF">2026-03-02T09:40:36Z</dcterms:created>
  <dcterms:modified xsi:type="dcterms:W3CDTF">2026-03-26T20:42:52Z</dcterms:modified>
</cp:coreProperties>
</file>