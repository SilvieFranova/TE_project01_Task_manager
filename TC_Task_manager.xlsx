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Silva_soubory\Skoleni\Testing_engeto\Ukoly\Task_manager\"/>
    </mc:Choice>
  </mc:AlternateContent>
  <xr:revisionPtr revIDLastSave="0" documentId="13_ncr:1_{4F7F9A37-3C05-496F-A292-2E53987C97D7}" xr6:coauthVersionLast="47" xr6:coauthVersionMax="47" xr10:uidLastSave="{00000000-0000-0000-0000-000000000000}"/>
  <bookViews>
    <workbookView xWindow="-120" yWindow="-120" windowWidth="29040" windowHeight="17520" xr2:uid="{0A98D9A3-6A31-490E-B68F-50673F0B3263}"/>
  </bookViews>
  <sheets>
    <sheet name="TEST CASE" sheetId="1" r:id="rId1"/>
    <sheet name="BUG REPORT" sheetId="3" r:id="rId2"/>
    <sheet name="POMOCNE" sheetId="2" r:id="rId3"/>
  </sheets>
  <definedNames>
    <definedName name="_xlnm._FilterDatabase" localSheetId="0" hidden="1">'TEST CASE'!$B$1:$M$39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3" i="1" l="1"/>
  <c r="E43" i="1" s="1"/>
  <c r="D46" i="1"/>
  <c r="E46" i="1" s="1"/>
  <c r="D40" i="1"/>
  <c r="E40" i="1" s="1"/>
  <c r="D22" i="1"/>
  <c r="E22" i="1" s="1"/>
  <c r="D4" i="1"/>
  <c r="E4" i="1" s="1"/>
  <c r="D5" i="1"/>
  <c r="E5" i="1" s="1"/>
  <c r="D6" i="1"/>
  <c r="E6" i="1" s="1"/>
  <c r="D7" i="1"/>
  <c r="E7" i="1" s="1"/>
  <c r="D10" i="1"/>
  <c r="E10" i="1" s="1"/>
  <c r="D13" i="1"/>
  <c r="E13" i="1" s="1"/>
  <c r="D16" i="1"/>
  <c r="E16" i="1" s="1"/>
  <c r="D19" i="1"/>
  <c r="E19" i="1" s="1"/>
  <c r="D25" i="1"/>
  <c r="E25" i="1" s="1"/>
  <c r="D28" i="1"/>
  <c r="E28" i="1" s="1"/>
  <c r="D31" i="1"/>
  <c r="E31" i="1" s="1"/>
  <c r="D34" i="1"/>
  <c r="E34" i="1" s="1"/>
  <c r="D37" i="1"/>
  <c r="E37" i="1" s="1"/>
</calcChain>
</file>

<file path=xl/sharedStrings.xml><?xml version="1.0" encoding="utf-8"?>
<sst xmlns="http://schemas.openxmlformats.org/spreadsheetml/2006/main" count="249" uniqueCount="150">
  <si>
    <t>TESTOVACÍ SCÉNÁŘ</t>
  </si>
  <si>
    <t>OČEKÁVANÝ VÝSTUP</t>
  </si>
  <si>
    <t>SKUTEČNÝ VÝSTUP</t>
  </si>
  <si>
    <t>Č.KROKU</t>
  </si>
  <si>
    <t>POSTUP</t>
  </si>
  <si>
    <t>1.</t>
  </si>
  <si>
    <t>2.</t>
  </si>
  <si>
    <t>3.</t>
  </si>
  <si>
    <t>KATEGORIE</t>
  </si>
  <si>
    <t>POŽADAVKY</t>
  </si>
  <si>
    <t>RIZIKA</t>
  </si>
  <si>
    <t>POKRYTÍ</t>
  </si>
  <si>
    <t>STRATEGIE</t>
  </si>
  <si>
    <t>STANDARDY</t>
  </si>
  <si>
    <t>EXPLORATIVNÍ</t>
  </si>
  <si>
    <t>AD-HOC</t>
  </si>
  <si>
    <t>POZITIVNÍ</t>
  </si>
  <si>
    <t>NEGATIVNÍ</t>
  </si>
  <si>
    <t>HRANIČNÍ HODNOTY</t>
  </si>
  <si>
    <t>NÁZEV</t>
  </si>
  <si>
    <t>NÁSTROJE</t>
  </si>
  <si>
    <t>TESTOVACÍ DATA</t>
  </si>
  <si>
    <t>VÝSLEDEK</t>
  </si>
  <si>
    <t>TEST PROŠEL</t>
  </si>
  <si>
    <t>TEST NEPROŠEL</t>
  </si>
  <si>
    <t>BUG REPORT</t>
  </si>
  <si>
    <t>DESIGN</t>
  </si>
  <si>
    <t>OZNAČENÍ</t>
  </si>
  <si>
    <t>JMÉNO</t>
  </si>
  <si>
    <t>MĚSTO</t>
  </si>
  <si>
    <t>Jan</t>
  </si>
  <si>
    <t>Praha</t>
  </si>
  <si>
    <t>Do polí zadány uvedené hodnoty</t>
  </si>
  <si>
    <t>Potvrzení odeslání</t>
  </si>
  <si>
    <t>Vypsání výsledku</t>
  </si>
  <si>
    <t>Jmenujete se Jan a jste z Praha. Ve vašem křestním jménu je 2 samohlásek a 1 souhlásek.</t>
  </si>
  <si>
    <t>Welcome Jan from Praha. There are 1 vowels in your first name and 2 consonants in your first name and there are 2 vowels in your city and 3 consonants in your city.</t>
  </si>
  <si>
    <t>jan</t>
  </si>
  <si>
    <t>JAn</t>
  </si>
  <si>
    <t>PrAhA</t>
  </si>
  <si>
    <t>Welcome JAn from PrAhA. There are 1 vowels in your first name and 2 consonants in your first name and there are 2 vowels in your city and 3 consonants in your city.</t>
  </si>
  <si>
    <t>Veronika</t>
  </si>
  <si>
    <t>Pelhřimov</t>
  </si>
  <si>
    <t>Welcome Jan from . There are 1 vowels in your first name and 2 consonants in your first name and there are 0 vowels in your city and 0 consonants in your city.</t>
  </si>
  <si>
    <t>Zadání údajů a zjištění výsledku</t>
  </si>
  <si>
    <t>Do polí zadány uvedené hodnoty (test středně dlouhých jmen/názvů)</t>
  </si>
  <si>
    <t>Do polí zadány uvedené hodnoty (test krátkých hodnot)</t>
  </si>
  <si>
    <t>Welcome Veronika from Pelhřimov. There are 4 vowels in your first name and 4 consonants in your first name and there are 3 vowels in your city and 7 consonants in your city.</t>
  </si>
  <si>
    <t>Jmenujete se Veronika a jste z Pelhřimov. Ve vašem křestním jménu je 4 samohlásek a 4 souhlásek.</t>
  </si>
  <si>
    <t>Do polí zadány uvedené hodnoty (test více slovných jmen/názvů)</t>
  </si>
  <si>
    <t>Anna Marie</t>
  </si>
  <si>
    <t>České Budějovice</t>
  </si>
  <si>
    <t>Welcome Anna Marie from České Budějovice. There are 5 vowels in your first name and 5 consonants in your first name and there are 5 vowels in your city and 14 consonants in your city.</t>
  </si>
  <si>
    <t>Jmenujete se Anna Marie a jste z České Budějovice. Ve vašem křestním jménu je 5 samohlásek a 4 souhlásek.</t>
  </si>
  <si>
    <t>Aplikace vrací nesprávný výsledek</t>
  </si>
  <si>
    <t>*&amp;@</t>
  </si>
  <si>
    <t>\|#&amp;@</t>
  </si>
  <si>
    <t>Welcome *&amp;@ from \|#&amp;@. There are 0 vowels in your first name and 3 consonants in your first name and there are 0 vowels in your city and 5 consonants in your city.</t>
  </si>
  <si>
    <t>Chrome 145.0,(Win 11 CZ), Edge 145.0,(Win 11 CZ), Chrome 145.0 (Android 15)</t>
  </si>
  <si>
    <t>PRIORITIZACE</t>
  </si>
  <si>
    <t>BUG/NEJASNOST</t>
  </si>
  <si>
    <t>Aplikace by měla validovat vstup tak, aby pole obsahovalo alespoň jeden alfabetický znak.</t>
  </si>
  <si>
    <t>Kategorie 1 – UI</t>
  </si>
  <si>
    <t>Zobrazení</t>
  </si>
  <si>
    <t>Zarovnání</t>
  </si>
  <si>
    <t>Jazyk</t>
  </si>
  <si>
    <t>Kategorie 2 – Funkční logika</t>
  </si>
  <si>
    <t>Validní vstup</t>
  </si>
  <si>
    <t>Výpočet samohlásek</t>
  </si>
  <si>
    <t>Výpis výsledku</t>
  </si>
  <si>
    <t>Kategorie 3 – Validace vstupu</t>
  </si>
  <si>
    <t>Prázdné</t>
  </si>
  <si>
    <t>Mezery</t>
  </si>
  <si>
    <t>Čísla</t>
  </si>
  <si>
    <t>Spec znaky</t>
  </si>
  <si>
    <t>Case</t>
  </si>
  <si>
    <t>Enter</t>
  </si>
  <si>
    <t>KATEGORIE TESTŮ</t>
  </si>
  <si>
    <t>UI</t>
  </si>
  <si>
    <t>FUNKČNÍ LOGIKA</t>
  </si>
  <si>
    <t>VALIDACE VSTUPU</t>
  </si>
  <si>
    <t>ZKRATKA</t>
  </si>
  <si>
    <t>FUNC</t>
  </si>
  <si>
    <t>VAL</t>
  </si>
  <si>
    <t>TC</t>
  </si>
  <si>
    <t>BUG-01</t>
  </si>
  <si>
    <t>BUG-02</t>
  </si>
  <si>
    <t>BUG-03</t>
  </si>
  <si>
    <t>BUG-04</t>
  </si>
  <si>
    <t>BUG-05</t>
  </si>
  <si>
    <t>BUG-06</t>
  </si>
  <si>
    <t>BUG-07</t>
  </si>
  <si>
    <t>BUG-08</t>
  </si>
  <si>
    <t>BUG-09</t>
  </si>
  <si>
    <t>BUG-10</t>
  </si>
  <si>
    <t>ISTQB Foundation Level</t>
  </si>
  <si>
    <t>Hlavně:</t>
  </si>
  <si>
    <t>test design techniques</t>
  </si>
  <si>
    <t>ekvivalenční třídy</t>
  </si>
  <si>
    <t>hraniční hodnoty</t>
  </si>
  <si>
    <t>kategorizace podle typu testu</t>
  </si>
  <si>
    <t>📘 Testing pyramida (Mike Cohn)</t>
  </si>
  <si>
    <t>Rozdělení podle:</t>
  </si>
  <si>
    <t>unit</t>
  </si>
  <si>
    <t>integration</t>
  </si>
  <si>
    <t>system</t>
  </si>
  <si>
    <t>📘 Practical Test Management (Rex Black)</t>
  </si>
  <si>
    <t>Doporučuje:</t>
  </si>
  <si>
    <t>strukturovat podle modulů</t>
  </si>
  <si>
    <t>nepřehánět granularitu</t>
  </si>
  <si>
    <t>dělit podle rizika</t>
  </si>
  <si>
    <t>📘 Software Testing (Ron Patton)</t>
  </si>
  <si>
    <t>Praktické doporučení:</t>
  </si>
  <si>
    <t>Kategorie mají být tak jednoduché, aby jim rozuměl i nový člen týmu.</t>
  </si>
  <si>
    <t>Tady je klíčové si uvědomit:</t>
  </si>
  <si>
    <t>🔹 Validace = kontrola vstupu</t>
  </si>
  <si>
    <t>„Můžu to vůbec zpracovat?“</t>
  </si>
  <si>
    <t>🔹 Funkční logika = co aplikace udělá se správným vstupem</t>
  </si>
  <si>
    <t>„Počítá to správně? Vrací správný text?“</t>
  </si>
  <si>
    <t xml:space="preserve">Funkční vs. validační testy </t>
  </si>
  <si>
    <t>Do polí zadány uvedené hodnoty (mixed-case)</t>
  </si>
  <si>
    <t>TYP</t>
  </si>
  <si>
    <t>ČÍSLO</t>
  </si>
  <si>
    <t>PROPOJENÍ S TC</t>
  </si>
  <si>
    <t>BUG ID</t>
  </si>
  <si>
    <t>FAIL</t>
  </si>
  <si>
    <t>Město není ve výstupu zobrazeno (Chyba se neprojevuje konzistentně)</t>
  </si>
  <si>
    <t>Není specifikována validace vstupu (speciální znaky)</t>
  </si>
  <si>
    <t>Most</t>
  </si>
  <si>
    <t>Lorem ipsum dolor sit amet, consectetur adipiscing elit. Phasellus scelerisque, velit eu efficitur egestas, purus tortor sagittis dolor, in luctus nibh purus eget dolor. Suspendisse pulvinar semper vehicula. Praesent bibendum nisl vel diam suscipit velit. Lorem ipsum dolor sit amet, consectetur adipiscing elit. Phasellus scelerisque, velit eu efficitur egestas, purus tortor sagittis dolor, in luctus nibh purus eget dolor. Suspendisse pulvinar semper vehicula. Praesent bibendum nisl vel diam suscipit velit.</t>
  </si>
  <si>
    <t>Do polí zadány uvedené hodnoty (test extrémních hodnot - 511 znaků)</t>
  </si>
  <si>
    <t>Výrazné zpomalení odezvy při delším vstupu (již od 4é+40 znaků)</t>
  </si>
  <si>
    <t>4.</t>
  </si>
  <si>
    <t>5.</t>
  </si>
  <si>
    <t>"   Jan   "</t>
  </si>
  <si>
    <t>"   Praha   "</t>
  </si>
  <si>
    <t>Do polí zadány uvedené hodnoty (test trimování)</t>
  </si>
  <si>
    <t>Welcome Jan from Praha . There are 1 vowels in your first name and 8 consonants in your first name and there are 2 vowels in your city and 9 consonants in your city.</t>
  </si>
  <si>
    <t>Odezva aplikace při zpracování delšího vstupu</t>
  </si>
  <si>
    <t>Do polí zadány uvedené hodnoty (test dlouhých hodnot - 511 znaků + krátký vstup)</t>
  </si>
  <si>
    <t>Změřit čas od kliknutí na tlačítko Odeslat do zobrazení výsledku (3 opakování).
POZN: (Chrome/Edge - DevTools, Android Data + Wifi - stopky)</t>
  </si>
  <si>
    <t>Odezva by měla být srovnatelná s běžným vstupem (cca 1–2 s) a neměla by výrazně přesáhnout 2–3 s.</t>
  </si>
  <si>
    <t>Naměřená průměrná odezva (3 měření):
Chrome (Win 11): 10,16 s
Edge (Win 11): 10,24 s
Android (Data + WiFi): 10,35 s
Baseline (krátký vstup):
cca 1–2 s</t>
  </si>
  <si>
    <t>BUG-11</t>
  </si>
  <si>
    <t>6.</t>
  </si>
  <si>
    <t>Lorem ipsum dolor sit amet, consectetur adipiscing elit. Phasellus scelerisque, velit eu efficitur egestas, purus tortor sagittis dolor, in luctus nibh purus eget dolor. Suspendisse pulvinar semper vehicula. Praesent bibendum nisl vel diam suscipit velit. Lorem ipsum dolor sit amet, consectetur adipiscing elit. Phasellus scelerisque, velit eu efficitur egestas, purus tortor sagittis dolor, in luctus nibh purus eget dolor. Suspendisse pulvinar semper vehicula. Praesent bibendum nisl vel diam suscipit velit.Lorem ipsum dolor sit amet, consectetur adipiscing elit. Phasellus scelerisque, velit eu efficitur egestas, purus tortor sagittis dolor, in luctus nibh purus eget dolor. Suspendisse pulvinar semper vehicula. Praesent bibendum nisl vel diam suscipit velit. Lorem ipsum dolor sit amet, consectetur adipiscing elit. Phasellus scelerisque, velit eu efficitur egestas, purus tortor sagittis dolor, in luctus nibh purus eget dolor. Suspendisse pulvinar semper vehicula. Praesent bibendum nisl vel diam suscipit velit.Lorem ipsum dolor sit amet, consectetur adipiscing elit. Phasellus scelerisque, velit eu efficitur egestas, purus tortor sagittis dolor, in luctus nibh purus eget dolor. Suspendisse pulvinar semper vehicula. Praesent bibendum nisl vel diam suscipit velit. Lorem ipsum dolor sit amet, consectetur adipiscing elit. Phasellus scelerisque, velit eu efficitur egestas, purus tortor sagittis dolor, in luctus nibh purus eget dolor. Suspendisse pulvinar semper vehicula. Praesent bibendum nisl vel diam suscipit velit.</t>
  </si>
  <si>
    <t>Do polí zadány uvedené hodnoty (test dlouhých hodnot - 1533 znaků + krátký vstup)</t>
  </si>
  <si>
    <t>Naměřená průměrná odezva (3 měření):
Chrome (Win 11): 10,29 s
Edge (Win 11): 10,17 s
Android (Data + WiFi): 10,20 s
Baseline (krátký vstup):
cca 1–2 s</t>
  </si>
  <si>
    <t>Zadání zbytečných znaků navíc</t>
  </si>
  <si>
    <t>Špatné trimování vstupu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</si>
</sst>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charset val="238"/>
      <scheme val="minor"/>
    </font>
    <font>
      <sz val="8"/>
      <name val="Aptos Narrow"/>
      <family val="2"/>
      <charset val="238"/>
      <scheme val="minor"/>
    </font>
    <font>
      <b/>
      <sz val="11"/>
      <color theme="1"/>
      <name val="Aptos Narrow"/>
      <family val="2"/>
      <scheme val="minor"/>
    </font>
    <font>
      <b/>
      <sz val="18"/>
      <color theme="1"/>
      <name val="Aptos Narrow"/>
      <family val="2"/>
      <charset val="238"/>
      <scheme val="minor"/>
    </font>
    <font>
      <b/>
      <sz val="12"/>
      <color theme="1"/>
      <name val="Aptos Narrow"/>
      <family val="2"/>
      <scheme val="minor"/>
    </font>
    <font>
      <b/>
      <sz val="13.5"/>
      <color theme="1"/>
      <name val="Aptos Narrow"/>
      <family val="2"/>
      <charset val="238"/>
      <scheme val="minor"/>
    </font>
    <font>
      <b/>
      <sz val="24"/>
      <color theme="1"/>
      <name val="Aptos Narrow"/>
      <family val="2"/>
      <charset val="238"/>
      <scheme val="minor"/>
    </font>
    <font>
      <sz val="11"/>
      <color theme="1"/>
      <name val="Aptos Narrow"/>
      <family val="2"/>
      <scheme val="minor"/>
    </font>
  </fonts>
  <fills count="2">
    <fill>
      <patternFill patternType="none"/>
    </fill>
    <fill>
      <patternFill patternType="gray125"/>
    </fill>
  </fills>
  <borders count="28">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s>
  <cellStyleXfs count="1">
    <xf numFmtId="0" fontId="0" fillId="0" borderId="0"/>
  </cellStyleXfs>
  <cellXfs count="92">
    <xf numFmtId="0" fontId="0" fillId="0" borderId="0" xfId="0"/>
    <xf numFmtId="0" fontId="0" fillId="0" borderId="0" xfId="0" applyAlignment="1">
      <alignment horizontal="center"/>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xf>
    <xf numFmtId="0" fontId="3" fillId="0" borderId="0" xfId="0" applyFont="1" applyAlignment="1">
      <alignment vertical="center"/>
    </xf>
    <xf numFmtId="0" fontId="0" fillId="0" borderId="0" xfId="0" applyAlignment="1">
      <alignment horizontal="left" vertical="center" indent="1"/>
    </xf>
    <xf numFmtId="0" fontId="5" fillId="0" borderId="0" xfId="0" applyFont="1" applyAlignment="1">
      <alignment vertical="center"/>
    </xf>
    <xf numFmtId="0" fontId="0" fillId="0" borderId="0" xfId="0" applyAlignment="1">
      <alignment horizontal="left" vertical="center" wrapText="1" indent="1"/>
    </xf>
    <xf numFmtId="0" fontId="6" fillId="0" borderId="0" xfId="0" applyFont="1" applyAlignment="1">
      <alignment vertical="center"/>
    </xf>
    <xf numFmtId="0" fontId="2" fillId="0" borderId="9" xfId="0" applyFont="1" applyBorder="1" applyAlignment="1">
      <alignment horizontal="center"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7" fillId="0" borderId="3" xfId="0" applyFont="1" applyBorder="1" applyAlignment="1">
      <alignment vertic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vertical="center" wrapText="1"/>
    </xf>
    <xf numFmtId="0" fontId="7" fillId="0" borderId="2" xfId="0" applyFont="1" applyBorder="1" applyAlignment="1">
      <alignment horizontal="center" vertical="center" wrapText="1"/>
    </xf>
    <xf numFmtId="0" fontId="7" fillId="0" borderId="2" xfId="0" applyFont="1" applyBorder="1" applyAlignment="1">
      <alignment vertical="center" wrapText="1"/>
    </xf>
    <xf numFmtId="0" fontId="7" fillId="0" borderId="0" xfId="0" applyFont="1" applyAlignment="1">
      <alignment horizontal="center" vertical="center"/>
    </xf>
    <xf numFmtId="0" fontId="7" fillId="0" borderId="3" xfId="0" applyFont="1" applyBorder="1" applyAlignment="1">
      <alignment horizontal="center" vertical="center"/>
    </xf>
    <xf numFmtId="0" fontId="7" fillId="0" borderId="3" xfId="0" applyFont="1" applyBorder="1" applyAlignment="1">
      <alignment vertical="center" wrapText="1"/>
    </xf>
    <xf numFmtId="0" fontId="7" fillId="0" borderId="0" xfId="0" applyFont="1" applyAlignment="1">
      <alignment vertical="center"/>
    </xf>
    <xf numFmtId="0" fontId="7" fillId="0" borderId="0" xfId="0" applyFont="1" applyAlignment="1">
      <alignment vertical="center" wrapText="1"/>
    </xf>
    <xf numFmtId="0" fontId="7" fillId="0" borderId="1" xfId="0" applyFont="1" applyBorder="1" applyAlignment="1">
      <alignment vertical="center"/>
    </xf>
    <xf numFmtId="0" fontId="7" fillId="0" borderId="1" xfId="0" applyFont="1" applyBorder="1" applyAlignment="1">
      <alignment wrapText="1"/>
    </xf>
    <xf numFmtId="0" fontId="7" fillId="0" borderId="0" xfId="0" applyFont="1" applyAlignment="1">
      <alignment wrapText="1"/>
    </xf>
    <xf numFmtId="0" fontId="7" fillId="0" borderId="0" xfId="0" applyFont="1"/>
    <xf numFmtId="0" fontId="7" fillId="0" borderId="1" xfId="0" applyFont="1" applyBorder="1"/>
    <xf numFmtId="49" fontId="7" fillId="0" borderId="19" xfId="0" applyNumberFormat="1" applyFont="1" applyBorder="1" applyAlignment="1">
      <alignment vertical="center"/>
    </xf>
    <xf numFmtId="0" fontId="7" fillId="0" borderId="19" xfId="0" applyFont="1" applyBorder="1" applyAlignment="1">
      <alignment horizontal="center" vertical="center"/>
    </xf>
    <xf numFmtId="164" fontId="2" fillId="0" borderId="2" xfId="0" applyNumberFormat="1" applyFont="1" applyBorder="1" applyAlignment="1">
      <alignment horizontal="center" vertical="center"/>
    </xf>
    <xf numFmtId="49" fontId="7" fillId="0" borderId="2" xfId="0" applyNumberFormat="1" applyFont="1" applyBorder="1" applyAlignment="1">
      <alignment vertical="center"/>
    </xf>
    <xf numFmtId="0" fontId="7" fillId="0" borderId="2" xfId="0" applyFont="1" applyBorder="1" applyAlignment="1">
      <alignment horizontal="center" vertical="center"/>
    </xf>
    <xf numFmtId="0" fontId="7" fillId="0" borderId="2" xfId="0" applyFont="1" applyBorder="1" applyAlignment="1">
      <alignment vertical="center"/>
    </xf>
    <xf numFmtId="164" fontId="2" fillId="0" borderId="0" xfId="0" applyNumberFormat="1" applyFont="1" applyAlignment="1">
      <alignment horizontal="center" vertical="center"/>
    </xf>
    <xf numFmtId="0" fontId="7" fillId="0" borderId="0" xfId="0" applyFont="1" applyAlignment="1">
      <alignment horizontal="center"/>
    </xf>
    <xf numFmtId="0" fontId="7" fillId="0" borderId="0" xfId="0" quotePrefix="1" applyFont="1"/>
    <xf numFmtId="0" fontId="7" fillId="0" borderId="2" xfId="0" applyFont="1" applyBorder="1" applyAlignment="1">
      <alignment horizontal="center" vertical="center"/>
    </xf>
    <xf numFmtId="0" fontId="2" fillId="0" borderId="0" xfId="0" applyFont="1" applyAlignment="1">
      <alignment horizontal="center" vertical="center"/>
    </xf>
    <xf numFmtId="49" fontId="7" fillId="0" borderId="2" xfId="0" applyNumberFormat="1" applyFont="1" applyBorder="1" applyAlignment="1">
      <alignment horizontal="center" vertical="center"/>
    </xf>
    <xf numFmtId="0" fontId="7" fillId="0" borderId="3" xfId="0" applyFont="1" applyBorder="1" applyAlignment="1">
      <alignment horizontal="center" vertical="center"/>
    </xf>
    <xf numFmtId="0" fontId="7" fillId="0" borderId="0" xfId="0" applyFont="1" applyAlignment="1">
      <alignment horizontal="center" vertical="center"/>
    </xf>
    <xf numFmtId="0" fontId="7" fillId="0" borderId="1" xfId="0" applyFont="1" applyBorder="1" applyAlignment="1">
      <alignment horizontal="center" vertical="center"/>
    </xf>
    <xf numFmtId="0" fontId="7" fillId="0" borderId="3" xfId="0" applyFont="1" applyBorder="1" applyAlignment="1">
      <alignment horizontal="center" vertical="center" wrapText="1"/>
    </xf>
    <xf numFmtId="0" fontId="7" fillId="0" borderId="0" xfId="0" applyFont="1" applyAlignment="1">
      <alignment horizontal="center" vertical="center" wrapText="1"/>
    </xf>
    <xf numFmtId="0" fontId="7" fillId="0" borderId="1" xfId="0" applyFont="1" applyBorder="1" applyAlignment="1">
      <alignment horizontal="center" vertical="center" wrapText="1"/>
    </xf>
    <xf numFmtId="0" fontId="2" fillId="0" borderId="15" xfId="0" applyFont="1" applyBorder="1" applyAlignment="1">
      <alignment horizontal="center" vertical="center"/>
    </xf>
    <xf numFmtId="0" fontId="2" fillId="0" borderId="18" xfId="0" applyFont="1" applyBorder="1" applyAlignment="1">
      <alignment horizontal="center" vertical="center"/>
    </xf>
    <xf numFmtId="0" fontId="2" fillId="0" borderId="22" xfId="0" applyFont="1" applyBorder="1" applyAlignment="1">
      <alignment horizontal="center" vertical="center"/>
    </xf>
    <xf numFmtId="0" fontId="2" fillId="0" borderId="16" xfId="0" applyFont="1" applyBorder="1" applyAlignment="1">
      <alignment horizontal="center" vertical="center"/>
    </xf>
    <xf numFmtId="0" fontId="2" fillId="0" borderId="23"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164" fontId="2" fillId="0" borderId="3"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1" xfId="0" applyNumberFormat="1" applyFont="1" applyBorder="1" applyAlignment="1">
      <alignment horizontal="center" vertical="center"/>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0" borderId="9" xfId="0" applyFont="1" applyBorder="1" applyAlignment="1">
      <alignment horizontal="center" vertical="center" wrapText="1"/>
    </xf>
    <xf numFmtId="0" fontId="2" fillId="0" borderId="4" xfId="0" applyFont="1" applyBorder="1" applyAlignment="1">
      <alignment horizontal="center"/>
    </xf>
    <xf numFmtId="0" fontId="2" fillId="0" borderId="9" xfId="0" applyFont="1" applyBorder="1" applyAlignment="1">
      <alignment horizontal="center"/>
    </xf>
    <xf numFmtId="0" fontId="2" fillId="0" borderId="5" xfId="0" applyFont="1" applyBorder="1" applyAlignment="1">
      <alignment horizontal="center"/>
    </xf>
    <xf numFmtId="0" fontId="2" fillId="0" borderId="4" xfId="0" applyFont="1" applyBorder="1" applyAlignment="1">
      <alignment horizontal="center" vertical="center"/>
    </xf>
    <xf numFmtId="0" fontId="7" fillId="0" borderId="11" xfId="0" applyFont="1" applyBorder="1" applyAlignment="1">
      <alignment horizontal="center"/>
    </xf>
    <xf numFmtId="0" fontId="7" fillId="0" borderId="12" xfId="0" applyFont="1" applyBorder="1" applyAlignment="1">
      <alignment horizontal="center"/>
    </xf>
    <xf numFmtId="0" fontId="7" fillId="0" borderId="13" xfId="0" applyFont="1" applyBorder="1" applyAlignment="1">
      <alignment horizontal="center"/>
    </xf>
    <xf numFmtId="0" fontId="2" fillId="0" borderId="9" xfId="0" applyFont="1" applyBorder="1" applyAlignment="1">
      <alignment horizontal="center" vertical="center"/>
    </xf>
    <xf numFmtId="0" fontId="2" fillId="0" borderId="17" xfId="0" applyFont="1" applyBorder="1" applyAlignment="1">
      <alignment horizontal="center" vertical="center"/>
    </xf>
    <xf numFmtId="0" fontId="2" fillId="0" borderId="14" xfId="0" applyFont="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27" xfId="0" applyFont="1" applyBorder="1" applyAlignment="1">
      <alignment horizontal="center" vertical="center" wrapText="1"/>
    </xf>
    <xf numFmtId="0" fontId="4" fillId="0" borderId="3" xfId="0" applyFont="1" applyBorder="1" applyAlignment="1">
      <alignment horizontal="center" vertical="center"/>
    </xf>
    <xf numFmtId="0" fontId="4" fillId="0" borderId="0" xfId="0" applyFont="1" applyAlignment="1">
      <alignment horizontal="center" vertical="center"/>
    </xf>
    <xf numFmtId="0" fontId="4" fillId="0" borderId="1" xfId="0"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8" xfId="0" applyFont="1" applyBorder="1" applyAlignment="1">
      <alignment horizontal="center" vertical="center" wrapText="1"/>
    </xf>
    <xf numFmtId="0" fontId="7" fillId="0" borderId="3" xfId="0" quotePrefix="1" applyFont="1" applyBorder="1" applyAlignment="1">
      <alignment horizontal="center" vertical="center"/>
    </xf>
    <xf numFmtId="0" fontId="7" fillId="0" borderId="0" xfId="0" quotePrefix="1" applyFont="1" applyAlignment="1">
      <alignment horizontal="center" vertical="center"/>
    </xf>
    <xf numFmtId="0" fontId="7" fillId="0" borderId="1" xfId="0" quotePrefix="1" applyFont="1" applyBorder="1" applyAlignment="1">
      <alignment horizontal="center" vertical="center"/>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5" xfId="0" applyFont="1" applyBorder="1" applyAlignment="1">
      <alignment horizontal="center" vertical="center"/>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Motiv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29B4D-5AA8-41EA-A1D7-BA21E0F605F8}">
  <sheetPr>
    <pageSetUpPr fitToPage="1"/>
  </sheetPr>
  <dimension ref="A1:Q165"/>
  <sheetViews>
    <sheetView tabSelected="1" zoomScale="70" zoomScaleNormal="55" workbookViewId="0">
      <selection sqref="A1:A1048576"/>
    </sheetView>
  </sheetViews>
  <sheetFormatPr defaultRowHeight="15" x14ac:dyDescent="0.25"/>
  <cols>
    <col min="1" max="1" width="3.42578125" style="20" bestFit="1" customWidth="1"/>
    <col min="2" max="3" width="9.140625" style="28"/>
    <col min="4" max="4" width="15.7109375" style="3" customWidth="1"/>
    <col min="5" max="5" width="15.7109375" style="5" customWidth="1"/>
    <col min="6" max="6" width="43.5703125" style="37" bestFit="1" customWidth="1"/>
    <col min="7" max="7" width="48.7109375" style="28" bestFit="1" customWidth="1"/>
    <col min="8" max="8" width="10" style="28" customWidth="1"/>
    <col min="9" max="9" width="16.28515625" style="28" customWidth="1"/>
    <col min="10" max="10" width="9.28515625" style="28" bestFit="1" customWidth="1"/>
    <col min="11" max="11" width="64" style="28" customWidth="1"/>
    <col min="12" max="12" width="43.5703125" style="27" customWidth="1"/>
    <col min="13" max="13" width="46" style="27" customWidth="1"/>
    <col min="14" max="14" width="1" style="28" customWidth="1"/>
    <col min="15" max="15" width="17.140625" style="28" customWidth="1"/>
    <col min="16" max="16" width="11.140625" style="20" bestFit="1" customWidth="1"/>
    <col min="17" max="17" width="14.140625" style="20" bestFit="1" customWidth="1"/>
    <col min="18" max="16384" width="9.140625" style="28"/>
  </cols>
  <sheetData>
    <row r="1" spans="1:17" x14ac:dyDescent="0.25">
      <c r="B1" s="48" t="s">
        <v>84</v>
      </c>
      <c r="C1" s="51" t="s">
        <v>121</v>
      </c>
      <c r="D1" s="70" t="s">
        <v>122</v>
      </c>
      <c r="E1" s="53" t="s">
        <v>27</v>
      </c>
      <c r="F1" s="64" t="s">
        <v>0</v>
      </c>
      <c r="G1" s="64"/>
      <c r="H1" s="64"/>
      <c r="I1" s="64"/>
      <c r="J1" s="64"/>
      <c r="K1" s="64"/>
      <c r="L1" s="59" t="s">
        <v>1</v>
      </c>
      <c r="M1" s="59" t="s">
        <v>2</v>
      </c>
      <c r="N1" s="66"/>
      <c r="O1" s="89" t="s">
        <v>8</v>
      </c>
      <c r="P1" s="73" t="s">
        <v>22</v>
      </c>
      <c r="Q1" s="40" t="s">
        <v>124</v>
      </c>
    </row>
    <row r="2" spans="1:17" x14ac:dyDescent="0.25">
      <c r="B2" s="49"/>
      <c r="C2" s="40"/>
      <c r="D2" s="71"/>
      <c r="E2" s="54"/>
      <c r="F2" s="65" t="s">
        <v>19</v>
      </c>
      <c r="G2" s="65" t="s">
        <v>20</v>
      </c>
      <c r="H2" s="65" t="s">
        <v>21</v>
      </c>
      <c r="I2" s="65"/>
      <c r="J2" s="65" t="s">
        <v>3</v>
      </c>
      <c r="K2" s="62" t="s">
        <v>4</v>
      </c>
      <c r="L2" s="60"/>
      <c r="M2" s="60"/>
      <c r="N2" s="67"/>
      <c r="O2" s="90"/>
      <c r="P2" s="74"/>
      <c r="Q2" s="40"/>
    </row>
    <row r="3" spans="1:17" ht="15.75" thickBot="1" x14ac:dyDescent="0.3">
      <c r="B3" s="50"/>
      <c r="C3" s="52"/>
      <c r="D3" s="72"/>
      <c r="E3" s="55"/>
      <c r="F3" s="69"/>
      <c r="G3" s="69"/>
      <c r="H3" s="11" t="s">
        <v>28</v>
      </c>
      <c r="I3" s="11" t="s">
        <v>29</v>
      </c>
      <c r="J3" s="69"/>
      <c r="K3" s="63"/>
      <c r="L3" s="61"/>
      <c r="M3" s="61"/>
      <c r="N3" s="68"/>
      <c r="O3" s="91"/>
      <c r="P3" s="75"/>
      <c r="Q3" s="40"/>
    </row>
    <row r="4" spans="1:17" s="23" customFormat="1" x14ac:dyDescent="0.25">
      <c r="A4" s="20">
        <v>1</v>
      </c>
      <c r="B4" s="30"/>
      <c r="C4" s="30"/>
      <c r="D4" s="31">
        <f>COUNTIF($C$4:C4,C4)</f>
        <v>0</v>
      </c>
      <c r="E4" s="32" t="str">
        <f>_xlfn.TEXTJOIN("-",TRUE,B4,C4,TEXT(D4,"00"))</f>
        <v>00</v>
      </c>
      <c r="F4" s="16"/>
      <c r="G4" s="15"/>
      <c r="H4" s="16"/>
      <c r="I4" s="16"/>
      <c r="J4" s="16"/>
      <c r="K4" s="17"/>
      <c r="L4" s="17"/>
      <c r="M4" s="17"/>
      <c r="N4" s="25"/>
      <c r="O4" s="25"/>
      <c r="P4" s="16"/>
      <c r="Q4" s="16"/>
    </row>
    <row r="5" spans="1:17" s="23" customFormat="1" x14ac:dyDescent="0.25">
      <c r="A5" s="20">
        <v>2</v>
      </c>
      <c r="B5" s="33"/>
      <c r="C5" s="33"/>
      <c r="D5" s="34">
        <f>COUNTIF($C$4:C5,C5)</f>
        <v>0</v>
      </c>
      <c r="E5" s="32" t="str">
        <f>_xlfn.TEXTJOIN("-",TRUE,B5,C5,TEXT(D5,"00"))</f>
        <v>00</v>
      </c>
      <c r="F5" s="34"/>
      <c r="G5" s="15"/>
      <c r="H5" s="35"/>
      <c r="I5" s="35"/>
      <c r="J5" s="34"/>
      <c r="K5" s="35"/>
      <c r="L5" s="19"/>
      <c r="M5" s="19"/>
      <c r="N5" s="25"/>
      <c r="O5" s="25"/>
      <c r="P5" s="16"/>
      <c r="Q5" s="34"/>
    </row>
    <row r="6" spans="1:17" s="23" customFormat="1" x14ac:dyDescent="0.25">
      <c r="A6" s="20">
        <v>3</v>
      </c>
      <c r="B6" s="33"/>
      <c r="C6" s="33"/>
      <c r="D6" s="34">
        <f>COUNTIF($C$4:C6,C6)</f>
        <v>0</v>
      </c>
      <c r="E6" s="32" t="str">
        <f>_xlfn.TEXTJOIN("-",TRUE,B6,C6,TEXT(D6,"00"))</f>
        <v>00</v>
      </c>
      <c r="F6" s="34"/>
      <c r="G6" s="15"/>
      <c r="H6" s="35"/>
      <c r="I6" s="35"/>
      <c r="J6" s="34"/>
      <c r="K6" s="35"/>
      <c r="L6" s="19"/>
      <c r="M6" s="19"/>
      <c r="N6" s="25"/>
      <c r="O6" s="25"/>
      <c r="P6" s="16"/>
      <c r="Q6" s="34"/>
    </row>
    <row r="7" spans="1:17" s="23" customFormat="1" x14ac:dyDescent="0.25">
      <c r="A7" s="43">
        <v>4</v>
      </c>
      <c r="B7" s="41"/>
      <c r="C7" s="39"/>
      <c r="D7" s="42">
        <f>COUNTIF($C$4:C7,C7)</f>
        <v>0</v>
      </c>
      <c r="E7" s="56" t="str">
        <f>_xlfn.TEXTJOIN("-",TRUE,B7,C7,TEXT(D7,"00"))</f>
        <v>00</v>
      </c>
      <c r="F7" s="45"/>
      <c r="G7" s="45"/>
      <c r="H7" s="42"/>
      <c r="I7" s="42"/>
      <c r="J7" s="20"/>
      <c r="L7" s="24"/>
      <c r="M7" s="24"/>
      <c r="P7" s="42"/>
      <c r="Q7" s="39"/>
    </row>
    <row r="8" spans="1:17" s="23" customFormat="1" x14ac:dyDescent="0.25">
      <c r="A8" s="43"/>
      <c r="B8" s="41"/>
      <c r="C8" s="39"/>
      <c r="D8" s="43"/>
      <c r="E8" s="57"/>
      <c r="F8" s="46"/>
      <c r="G8" s="46"/>
      <c r="H8" s="43"/>
      <c r="I8" s="43"/>
      <c r="J8" s="20"/>
      <c r="L8" s="24"/>
      <c r="M8" s="24"/>
      <c r="P8" s="43"/>
      <c r="Q8" s="39"/>
    </row>
    <row r="9" spans="1:17" s="23" customFormat="1" x14ac:dyDescent="0.25">
      <c r="A9" s="43"/>
      <c r="B9" s="41"/>
      <c r="C9" s="39"/>
      <c r="D9" s="44"/>
      <c r="E9" s="58"/>
      <c r="F9" s="47"/>
      <c r="G9" s="47"/>
      <c r="H9" s="44"/>
      <c r="I9" s="44"/>
      <c r="J9" s="16"/>
      <c r="K9" s="25"/>
      <c r="L9" s="26"/>
      <c r="M9" s="17"/>
      <c r="N9" s="25"/>
      <c r="O9" s="25"/>
      <c r="P9" s="44"/>
      <c r="Q9" s="39"/>
    </row>
    <row r="10" spans="1:17" s="23" customFormat="1" x14ac:dyDescent="0.25">
      <c r="A10" s="43">
        <v>5</v>
      </c>
      <c r="B10" s="41"/>
      <c r="C10" s="39"/>
      <c r="D10" s="42">
        <f>COUNTIF($C$4:C10,C10)</f>
        <v>0</v>
      </c>
      <c r="E10" s="56" t="str">
        <f>_xlfn.TEXTJOIN("-",TRUE,B10,C10,TEXT(D10,"00"))</f>
        <v>00</v>
      </c>
      <c r="F10" s="45"/>
      <c r="G10" s="45"/>
      <c r="H10" s="42"/>
      <c r="I10" s="42"/>
      <c r="J10" s="20"/>
      <c r="L10" s="24"/>
      <c r="M10" s="24"/>
      <c r="P10" s="42"/>
      <c r="Q10" s="39"/>
    </row>
    <row r="11" spans="1:17" s="23" customFormat="1" x14ac:dyDescent="0.25">
      <c r="A11" s="43"/>
      <c r="B11" s="41"/>
      <c r="C11" s="39"/>
      <c r="D11" s="43"/>
      <c r="E11" s="57"/>
      <c r="F11" s="46"/>
      <c r="G11" s="46"/>
      <c r="H11" s="43"/>
      <c r="I11" s="43"/>
      <c r="J11" s="20"/>
      <c r="L11" s="24"/>
      <c r="M11" s="24"/>
      <c r="P11" s="43"/>
      <c r="Q11" s="39"/>
    </row>
    <row r="12" spans="1:17" s="23" customFormat="1" x14ac:dyDescent="0.25">
      <c r="A12" s="43"/>
      <c r="B12" s="41"/>
      <c r="C12" s="39"/>
      <c r="D12" s="44"/>
      <c r="E12" s="58"/>
      <c r="F12" s="47"/>
      <c r="G12" s="47"/>
      <c r="H12" s="44"/>
      <c r="I12" s="44"/>
      <c r="J12" s="16"/>
      <c r="K12" s="25"/>
      <c r="L12" s="26"/>
      <c r="M12" s="17"/>
      <c r="N12" s="25"/>
      <c r="O12" s="25"/>
      <c r="P12" s="44"/>
      <c r="Q12" s="39"/>
    </row>
    <row r="13" spans="1:17" s="23" customFormat="1" x14ac:dyDescent="0.25">
      <c r="A13" s="43">
        <v>6</v>
      </c>
      <c r="B13" s="41"/>
      <c r="C13" s="39"/>
      <c r="D13" s="42">
        <f>COUNTIF($C$4:C13,C13)</f>
        <v>0</v>
      </c>
      <c r="E13" s="56" t="str">
        <f>_xlfn.TEXTJOIN("-",TRUE,B13,C13,TEXT(D13,"00"))</f>
        <v>00</v>
      </c>
      <c r="F13" s="45"/>
      <c r="G13" s="45"/>
      <c r="H13" s="42"/>
      <c r="I13" s="42"/>
      <c r="J13" s="20"/>
      <c r="L13" s="24"/>
      <c r="M13" s="24"/>
      <c r="P13" s="42"/>
      <c r="Q13" s="39"/>
    </row>
    <row r="14" spans="1:17" s="23" customFormat="1" x14ac:dyDescent="0.25">
      <c r="A14" s="43"/>
      <c r="B14" s="41"/>
      <c r="C14" s="39"/>
      <c r="D14" s="43"/>
      <c r="E14" s="57"/>
      <c r="F14" s="46"/>
      <c r="G14" s="46"/>
      <c r="H14" s="43"/>
      <c r="I14" s="43"/>
      <c r="J14" s="20"/>
      <c r="L14" s="24"/>
      <c r="M14" s="24"/>
      <c r="P14" s="43"/>
      <c r="Q14" s="39"/>
    </row>
    <row r="15" spans="1:17" s="23" customFormat="1" x14ac:dyDescent="0.25">
      <c r="A15" s="43"/>
      <c r="B15" s="41"/>
      <c r="C15" s="39"/>
      <c r="D15" s="44"/>
      <c r="E15" s="58"/>
      <c r="F15" s="47"/>
      <c r="G15" s="47"/>
      <c r="H15" s="44"/>
      <c r="I15" s="44"/>
      <c r="J15" s="16"/>
      <c r="K15" s="25"/>
      <c r="L15" s="26"/>
      <c r="M15" s="17"/>
      <c r="N15" s="25"/>
      <c r="O15" s="25"/>
      <c r="P15" s="44"/>
      <c r="Q15" s="39"/>
    </row>
    <row r="16" spans="1:17" s="23" customFormat="1" x14ac:dyDescent="0.25">
      <c r="A16" s="43">
        <v>7</v>
      </c>
      <c r="B16" s="41"/>
      <c r="C16" s="39"/>
      <c r="D16" s="42">
        <f>COUNTIF($C$4:C16,C16)</f>
        <v>0</v>
      </c>
      <c r="E16" s="56" t="str">
        <f>_xlfn.TEXTJOIN("-",TRUE,B16,C16,TEXT(D16,"00"))</f>
        <v>00</v>
      </c>
      <c r="F16" s="45"/>
      <c r="G16" s="45"/>
      <c r="H16" s="42"/>
      <c r="I16" s="42"/>
      <c r="J16" s="20"/>
      <c r="L16" s="24"/>
      <c r="M16" s="24"/>
      <c r="P16" s="42"/>
      <c r="Q16" s="39"/>
    </row>
    <row r="17" spans="1:17" s="23" customFormat="1" x14ac:dyDescent="0.25">
      <c r="A17" s="43"/>
      <c r="B17" s="41"/>
      <c r="C17" s="39"/>
      <c r="D17" s="43"/>
      <c r="E17" s="57"/>
      <c r="F17" s="46"/>
      <c r="G17" s="46"/>
      <c r="H17" s="43"/>
      <c r="I17" s="43"/>
      <c r="J17" s="20"/>
      <c r="L17" s="24"/>
      <c r="M17" s="24"/>
      <c r="P17" s="43"/>
      <c r="Q17" s="39"/>
    </row>
    <row r="18" spans="1:17" s="23" customFormat="1" x14ac:dyDescent="0.25">
      <c r="A18" s="43"/>
      <c r="B18" s="41"/>
      <c r="C18" s="39"/>
      <c r="D18" s="44"/>
      <c r="E18" s="58"/>
      <c r="F18" s="47"/>
      <c r="G18" s="47"/>
      <c r="H18" s="44"/>
      <c r="I18" s="44"/>
      <c r="J18" s="16"/>
      <c r="K18" s="25"/>
      <c r="L18" s="26"/>
      <c r="M18" s="17"/>
      <c r="N18" s="25"/>
      <c r="O18" s="25"/>
      <c r="P18" s="44"/>
      <c r="Q18" s="39"/>
    </row>
    <row r="19" spans="1:17" s="23" customFormat="1" x14ac:dyDescent="0.25">
      <c r="A19" s="43">
        <v>8</v>
      </c>
      <c r="B19" s="41"/>
      <c r="C19" s="39"/>
      <c r="D19" s="42">
        <f>COUNTIF($C$4:C19,C19)</f>
        <v>0</v>
      </c>
      <c r="E19" s="56" t="str">
        <f>_xlfn.TEXTJOIN("-",TRUE,B19,C19,TEXT(D19,"00"))</f>
        <v>00</v>
      </c>
      <c r="F19" s="45"/>
      <c r="G19" s="45"/>
      <c r="H19" s="42"/>
      <c r="I19" s="42"/>
      <c r="J19" s="21"/>
      <c r="K19" s="14"/>
      <c r="L19" s="22"/>
      <c r="M19" s="22"/>
      <c r="N19" s="14"/>
      <c r="O19" s="14"/>
      <c r="P19" s="42"/>
      <c r="Q19" s="39"/>
    </row>
    <row r="20" spans="1:17" s="23" customFormat="1" x14ac:dyDescent="0.25">
      <c r="A20" s="43"/>
      <c r="B20" s="41"/>
      <c r="C20" s="39"/>
      <c r="D20" s="43"/>
      <c r="E20" s="57"/>
      <c r="F20" s="46"/>
      <c r="G20" s="46"/>
      <c r="H20" s="43"/>
      <c r="I20" s="43"/>
      <c r="J20" s="20"/>
      <c r="L20" s="24"/>
      <c r="M20" s="24"/>
      <c r="P20" s="43"/>
      <c r="Q20" s="39"/>
    </row>
    <row r="21" spans="1:17" s="23" customFormat="1" x14ac:dyDescent="0.25">
      <c r="A21" s="43"/>
      <c r="B21" s="41"/>
      <c r="C21" s="39"/>
      <c r="D21" s="44"/>
      <c r="E21" s="58"/>
      <c r="F21" s="47"/>
      <c r="G21" s="47"/>
      <c r="H21" s="44"/>
      <c r="I21" s="44"/>
      <c r="J21" s="16"/>
      <c r="K21" s="25"/>
      <c r="L21" s="26"/>
      <c r="M21" s="26"/>
      <c r="N21" s="29"/>
      <c r="O21" s="25"/>
      <c r="P21" s="44"/>
      <c r="Q21" s="39"/>
    </row>
    <row r="22" spans="1:17" s="23" customFormat="1" x14ac:dyDescent="0.25">
      <c r="A22" s="43">
        <v>9</v>
      </c>
      <c r="B22" s="41"/>
      <c r="C22" s="39"/>
      <c r="D22" s="42">
        <f>COUNTIF($C$4:C22,C22)</f>
        <v>0</v>
      </c>
      <c r="E22" s="56" t="str">
        <f>_xlfn.TEXTJOIN("-",TRUE,B22,C22,TEXT(D22,"00"))</f>
        <v>00</v>
      </c>
      <c r="F22" s="45"/>
      <c r="G22" s="45"/>
      <c r="H22" s="42"/>
      <c r="I22" s="42"/>
      <c r="J22" s="20"/>
      <c r="L22" s="24"/>
      <c r="M22" s="24"/>
      <c r="P22" s="42"/>
      <c r="Q22" s="39"/>
    </row>
    <row r="23" spans="1:17" s="23" customFormat="1" x14ac:dyDescent="0.25">
      <c r="A23" s="43"/>
      <c r="B23" s="41"/>
      <c r="C23" s="39"/>
      <c r="D23" s="43"/>
      <c r="E23" s="57"/>
      <c r="F23" s="46"/>
      <c r="G23" s="46"/>
      <c r="H23" s="43"/>
      <c r="I23" s="43"/>
      <c r="J23" s="20"/>
      <c r="L23" s="24"/>
      <c r="M23" s="24"/>
      <c r="P23" s="43"/>
      <c r="Q23" s="39"/>
    </row>
    <row r="24" spans="1:17" s="23" customFormat="1" x14ac:dyDescent="0.25">
      <c r="A24" s="43"/>
      <c r="B24" s="41"/>
      <c r="C24" s="39"/>
      <c r="D24" s="44"/>
      <c r="E24" s="58"/>
      <c r="F24" s="47"/>
      <c r="G24" s="47"/>
      <c r="H24" s="44"/>
      <c r="I24" s="44"/>
      <c r="J24" s="16"/>
      <c r="K24" s="25"/>
      <c r="L24" s="26"/>
      <c r="M24" s="17"/>
      <c r="N24" s="25"/>
      <c r="O24" s="25"/>
      <c r="P24" s="44"/>
      <c r="Q24" s="39"/>
    </row>
    <row r="25" spans="1:17" s="23" customFormat="1" x14ac:dyDescent="0.25">
      <c r="A25" s="43">
        <v>10</v>
      </c>
      <c r="B25" s="41"/>
      <c r="C25" s="39"/>
      <c r="D25" s="42">
        <f>COUNTIF($C$4:C25,C25)</f>
        <v>0</v>
      </c>
      <c r="E25" s="56" t="str">
        <f>_xlfn.TEXTJOIN("-",TRUE,B25,C25,TEXT(D25,"00"))</f>
        <v>00</v>
      </c>
      <c r="F25" s="45"/>
      <c r="G25" s="45"/>
      <c r="H25" s="42"/>
      <c r="I25" s="42"/>
      <c r="J25" s="21"/>
      <c r="K25" s="14"/>
      <c r="L25" s="22"/>
      <c r="M25" s="22"/>
      <c r="N25" s="14"/>
      <c r="O25" s="14"/>
      <c r="P25" s="42"/>
      <c r="Q25" s="39"/>
    </row>
    <row r="26" spans="1:17" s="23" customFormat="1" x14ac:dyDescent="0.25">
      <c r="A26" s="43"/>
      <c r="B26" s="41"/>
      <c r="C26" s="39"/>
      <c r="D26" s="43"/>
      <c r="E26" s="57"/>
      <c r="F26" s="46"/>
      <c r="G26" s="46"/>
      <c r="H26" s="43"/>
      <c r="I26" s="43"/>
      <c r="J26" s="20"/>
      <c r="L26" s="24"/>
      <c r="M26" s="24"/>
      <c r="P26" s="43"/>
      <c r="Q26" s="39"/>
    </row>
    <row r="27" spans="1:17" x14ac:dyDescent="0.25">
      <c r="A27" s="43"/>
      <c r="B27" s="41"/>
      <c r="C27" s="39"/>
      <c r="D27" s="44"/>
      <c r="E27" s="58"/>
      <c r="F27" s="47"/>
      <c r="G27" s="47"/>
      <c r="H27" s="44"/>
      <c r="I27" s="44"/>
      <c r="J27" s="16"/>
      <c r="K27" s="25"/>
      <c r="L27" s="26"/>
      <c r="M27" s="26"/>
      <c r="N27" s="29"/>
      <c r="O27" s="25"/>
      <c r="P27" s="44"/>
      <c r="Q27" s="39"/>
    </row>
    <row r="28" spans="1:17" x14ac:dyDescent="0.25">
      <c r="A28" s="43">
        <v>11</v>
      </c>
      <c r="B28" s="41"/>
      <c r="C28" s="39"/>
      <c r="D28" s="42">
        <f>COUNTIF($C$4:C28,C28)</f>
        <v>0</v>
      </c>
      <c r="E28" s="56" t="str">
        <f>_xlfn.TEXTJOIN("-",TRUE,B28,C28,TEXT(D28,"00"))</f>
        <v>00</v>
      </c>
      <c r="F28" s="45"/>
      <c r="G28" s="45"/>
      <c r="H28" s="42"/>
      <c r="I28" s="42"/>
      <c r="J28" s="21"/>
      <c r="K28" s="14"/>
      <c r="L28" s="22"/>
      <c r="M28" s="22"/>
      <c r="N28" s="14"/>
      <c r="O28" s="14"/>
      <c r="P28" s="42"/>
      <c r="Q28" s="39"/>
    </row>
    <row r="29" spans="1:17" x14ac:dyDescent="0.25">
      <c r="A29" s="43"/>
      <c r="B29" s="41"/>
      <c r="C29" s="39"/>
      <c r="D29" s="43"/>
      <c r="E29" s="57"/>
      <c r="F29" s="46"/>
      <c r="G29" s="46"/>
      <c r="H29" s="43"/>
      <c r="I29" s="43"/>
      <c r="J29" s="20"/>
      <c r="K29" s="23"/>
      <c r="L29" s="24"/>
      <c r="M29" s="24"/>
      <c r="N29" s="23"/>
      <c r="O29" s="23"/>
      <c r="P29" s="43"/>
      <c r="Q29" s="39"/>
    </row>
    <row r="30" spans="1:17" x14ac:dyDescent="0.25">
      <c r="A30" s="43"/>
      <c r="B30" s="41"/>
      <c r="C30" s="39"/>
      <c r="D30" s="44"/>
      <c r="E30" s="58"/>
      <c r="F30" s="47"/>
      <c r="G30" s="47"/>
      <c r="H30" s="44"/>
      <c r="I30" s="44"/>
      <c r="J30" s="16"/>
      <c r="K30" s="25"/>
      <c r="L30" s="26"/>
      <c r="M30" s="26"/>
      <c r="N30" s="29"/>
      <c r="O30" s="25"/>
      <c r="P30" s="44"/>
      <c r="Q30" s="39"/>
    </row>
    <row r="31" spans="1:17" x14ac:dyDescent="0.25">
      <c r="A31" s="43">
        <v>12</v>
      </c>
      <c r="B31" s="41"/>
      <c r="C31" s="39"/>
      <c r="D31" s="42">
        <f>COUNTIF($C$4:C31,C31)</f>
        <v>0</v>
      </c>
      <c r="E31" s="56" t="str">
        <f>_xlfn.TEXTJOIN("-",TRUE,B31,C31,TEXT(D31,"00"))</f>
        <v>00</v>
      </c>
      <c r="F31" s="45" t="s">
        <v>44</v>
      </c>
      <c r="G31" s="45" t="s">
        <v>58</v>
      </c>
      <c r="H31" s="42" t="s">
        <v>38</v>
      </c>
      <c r="I31" s="42" t="s">
        <v>39</v>
      </c>
      <c r="J31" s="21" t="s">
        <v>5</v>
      </c>
      <c r="K31" s="14" t="s">
        <v>120</v>
      </c>
      <c r="L31" s="22"/>
      <c r="M31" s="22"/>
      <c r="N31" s="14"/>
      <c r="O31" s="14"/>
      <c r="P31" s="42" t="s">
        <v>125</v>
      </c>
      <c r="Q31" s="39" t="s">
        <v>93</v>
      </c>
    </row>
    <row r="32" spans="1:17" x14ac:dyDescent="0.25">
      <c r="A32" s="43"/>
      <c r="B32" s="41"/>
      <c r="C32" s="39"/>
      <c r="D32" s="43"/>
      <c r="E32" s="57"/>
      <c r="F32" s="46"/>
      <c r="G32" s="46"/>
      <c r="H32" s="43"/>
      <c r="I32" s="43"/>
      <c r="J32" s="20" t="s">
        <v>6</v>
      </c>
      <c r="K32" s="23" t="s">
        <v>33</v>
      </c>
      <c r="L32" s="24"/>
      <c r="M32" s="24"/>
      <c r="N32" s="23"/>
      <c r="O32" s="23"/>
      <c r="P32" s="43"/>
      <c r="Q32" s="39"/>
    </row>
    <row r="33" spans="1:17" ht="60" x14ac:dyDescent="0.25">
      <c r="A33" s="43"/>
      <c r="B33" s="41"/>
      <c r="C33" s="39"/>
      <c r="D33" s="44"/>
      <c r="E33" s="58"/>
      <c r="F33" s="47"/>
      <c r="G33" s="47"/>
      <c r="H33" s="44"/>
      <c r="I33" s="44"/>
      <c r="J33" s="16" t="s">
        <v>7</v>
      </c>
      <c r="K33" s="25" t="s">
        <v>34</v>
      </c>
      <c r="L33" s="26" t="s">
        <v>35</v>
      </c>
      <c r="M33" s="26" t="s">
        <v>40</v>
      </c>
      <c r="N33" s="29"/>
      <c r="O33" s="25"/>
      <c r="P33" s="44"/>
      <c r="Q33" s="39"/>
    </row>
    <row r="34" spans="1:17" x14ac:dyDescent="0.25">
      <c r="A34" s="43">
        <v>13</v>
      </c>
      <c r="B34" s="41"/>
      <c r="C34" s="39"/>
      <c r="D34" s="42">
        <f>COUNTIF($C$4:C34,C34)</f>
        <v>0</v>
      </c>
      <c r="E34" s="56" t="str">
        <f>_xlfn.TEXTJOIN("-",TRUE,B34,C34,TEXT(D34,"00"))</f>
        <v>00</v>
      </c>
      <c r="F34" s="45" t="s">
        <v>44</v>
      </c>
      <c r="G34" s="45" t="s">
        <v>58</v>
      </c>
      <c r="H34" s="42" t="s">
        <v>41</v>
      </c>
      <c r="I34" s="42" t="s">
        <v>42</v>
      </c>
      <c r="J34" s="21" t="s">
        <v>5</v>
      </c>
      <c r="K34" s="14" t="s">
        <v>45</v>
      </c>
      <c r="L34" s="22"/>
      <c r="M34" s="22"/>
      <c r="N34" s="14"/>
      <c r="O34" s="14"/>
      <c r="P34" s="42" t="s">
        <v>125</v>
      </c>
      <c r="Q34" s="39" t="s">
        <v>93</v>
      </c>
    </row>
    <row r="35" spans="1:17" x14ac:dyDescent="0.25">
      <c r="A35" s="43"/>
      <c r="B35" s="41"/>
      <c r="C35" s="39"/>
      <c r="D35" s="43"/>
      <c r="E35" s="57"/>
      <c r="F35" s="46"/>
      <c r="G35" s="46"/>
      <c r="H35" s="43"/>
      <c r="I35" s="43"/>
      <c r="J35" s="20" t="s">
        <v>6</v>
      </c>
      <c r="K35" s="23" t="s">
        <v>33</v>
      </c>
      <c r="L35" s="24"/>
      <c r="M35" s="24"/>
      <c r="N35" s="23"/>
      <c r="O35" s="23"/>
      <c r="P35" s="43"/>
      <c r="Q35" s="39"/>
    </row>
    <row r="36" spans="1:17" ht="60" x14ac:dyDescent="0.25">
      <c r="A36" s="43"/>
      <c r="B36" s="41"/>
      <c r="C36" s="39"/>
      <c r="D36" s="44"/>
      <c r="E36" s="58"/>
      <c r="F36" s="47"/>
      <c r="G36" s="47"/>
      <c r="H36" s="44"/>
      <c r="I36" s="44"/>
      <c r="J36" s="16" t="s">
        <v>7</v>
      </c>
      <c r="K36" s="25" t="s">
        <v>34</v>
      </c>
      <c r="L36" s="26" t="s">
        <v>48</v>
      </c>
      <c r="M36" s="26" t="s">
        <v>47</v>
      </c>
      <c r="N36" s="29"/>
      <c r="O36" s="25"/>
      <c r="P36" s="44"/>
      <c r="Q36" s="39"/>
    </row>
    <row r="37" spans="1:17" x14ac:dyDescent="0.25">
      <c r="A37" s="43">
        <v>14</v>
      </c>
      <c r="B37" s="41"/>
      <c r="C37" s="39"/>
      <c r="D37" s="42">
        <f>COUNTIF($C$4:C37,C37)</f>
        <v>0</v>
      </c>
      <c r="E37" s="56" t="str">
        <f>_xlfn.TEXTJOIN("-",TRUE,B37,C37,TEXT(D37,"00"))</f>
        <v>00</v>
      </c>
      <c r="F37" s="45" t="s">
        <v>44</v>
      </c>
      <c r="G37" s="45" t="s">
        <v>58</v>
      </c>
      <c r="H37" s="45" t="s">
        <v>50</v>
      </c>
      <c r="I37" s="45" t="s">
        <v>51</v>
      </c>
      <c r="J37" s="21" t="s">
        <v>5</v>
      </c>
      <c r="K37" s="14" t="s">
        <v>49</v>
      </c>
      <c r="L37" s="22"/>
      <c r="M37" s="22"/>
      <c r="N37" s="14"/>
      <c r="O37" s="14"/>
      <c r="P37" s="42" t="s">
        <v>125</v>
      </c>
      <c r="Q37" s="39" t="s">
        <v>93</v>
      </c>
    </row>
    <row r="38" spans="1:17" x14ac:dyDescent="0.25">
      <c r="A38" s="43"/>
      <c r="B38" s="41"/>
      <c r="C38" s="39"/>
      <c r="D38" s="43"/>
      <c r="E38" s="57"/>
      <c r="F38" s="46"/>
      <c r="G38" s="46"/>
      <c r="H38" s="46"/>
      <c r="I38" s="46"/>
      <c r="J38" s="20" t="s">
        <v>6</v>
      </c>
      <c r="K38" s="23" t="s">
        <v>33</v>
      </c>
      <c r="L38" s="24"/>
      <c r="M38" s="24"/>
      <c r="N38" s="23"/>
      <c r="O38" s="23"/>
      <c r="P38" s="43"/>
      <c r="Q38" s="39"/>
    </row>
    <row r="39" spans="1:17" ht="60" x14ac:dyDescent="0.25">
      <c r="A39" s="43"/>
      <c r="B39" s="41"/>
      <c r="C39" s="39"/>
      <c r="D39" s="44"/>
      <c r="E39" s="58"/>
      <c r="F39" s="47"/>
      <c r="G39" s="47"/>
      <c r="H39" s="47"/>
      <c r="I39" s="47"/>
      <c r="J39" s="16" t="s">
        <v>7</v>
      </c>
      <c r="K39" s="25" t="s">
        <v>34</v>
      </c>
      <c r="L39" s="26" t="s">
        <v>53</v>
      </c>
      <c r="M39" s="26" t="s">
        <v>52</v>
      </c>
      <c r="N39" s="29"/>
      <c r="O39" s="25"/>
      <c r="P39" s="44"/>
      <c r="Q39" s="39"/>
    </row>
    <row r="40" spans="1:17" ht="30" x14ac:dyDescent="0.25">
      <c r="A40" s="43">
        <v>15</v>
      </c>
      <c r="B40" s="41"/>
      <c r="C40" s="39"/>
      <c r="D40" s="42">
        <f>COUNTIF($C$4:C40,C40)</f>
        <v>0</v>
      </c>
      <c r="E40" s="56" t="str">
        <f>_xlfn.TEXTJOIN("-",TRUE,B40,C40,TEXT(D40,"00"))</f>
        <v>00</v>
      </c>
      <c r="F40" s="45" t="s">
        <v>138</v>
      </c>
      <c r="G40" s="45" t="s">
        <v>58</v>
      </c>
      <c r="H40" s="45" t="s">
        <v>129</v>
      </c>
      <c r="I40" s="45" t="s">
        <v>128</v>
      </c>
      <c r="J40" s="21" t="s">
        <v>5</v>
      </c>
      <c r="K40" s="22" t="s">
        <v>139</v>
      </c>
      <c r="L40" s="22"/>
      <c r="M40" s="22"/>
      <c r="N40" s="14"/>
      <c r="O40" s="14"/>
      <c r="P40" s="42" t="s">
        <v>125</v>
      </c>
      <c r="Q40" s="39" t="s">
        <v>94</v>
      </c>
    </row>
    <row r="41" spans="1:17" x14ac:dyDescent="0.25">
      <c r="A41" s="43"/>
      <c r="B41" s="41"/>
      <c r="C41" s="39"/>
      <c r="D41" s="43"/>
      <c r="E41" s="57"/>
      <c r="F41" s="46"/>
      <c r="G41" s="46"/>
      <c r="H41" s="46"/>
      <c r="I41" s="46"/>
      <c r="J41" s="20" t="s">
        <v>6</v>
      </c>
      <c r="K41" s="23" t="s">
        <v>33</v>
      </c>
      <c r="L41" s="24"/>
      <c r="M41" s="24"/>
      <c r="N41" s="23"/>
      <c r="O41" s="23"/>
      <c r="P41" s="43"/>
      <c r="Q41" s="39"/>
    </row>
    <row r="42" spans="1:17" ht="90" x14ac:dyDescent="0.25">
      <c r="A42" s="43"/>
      <c r="B42" s="41"/>
      <c r="C42" s="39"/>
      <c r="D42" s="44"/>
      <c r="E42" s="58"/>
      <c r="F42" s="47"/>
      <c r="G42" s="47"/>
      <c r="H42" s="47"/>
      <c r="I42" s="47"/>
      <c r="J42" s="16" t="s">
        <v>7</v>
      </c>
      <c r="K42" s="17" t="s">
        <v>140</v>
      </c>
      <c r="L42" s="26" t="s">
        <v>141</v>
      </c>
      <c r="M42" s="26" t="s">
        <v>142</v>
      </c>
      <c r="N42" s="29"/>
      <c r="O42" s="25"/>
      <c r="P42" s="44"/>
      <c r="Q42" s="39"/>
    </row>
    <row r="43" spans="1:17" ht="30" x14ac:dyDescent="0.25">
      <c r="A43" s="43">
        <v>16</v>
      </c>
      <c r="B43" s="41"/>
      <c r="C43" s="39"/>
      <c r="D43" s="42">
        <f>COUNTIF($C$4:C43,C43)</f>
        <v>0</v>
      </c>
      <c r="E43" s="56" t="str">
        <f>_xlfn.TEXTJOIN("-",TRUE,B43,C43,TEXT(D43,"00"))</f>
        <v>00</v>
      </c>
      <c r="F43" s="45" t="s">
        <v>138</v>
      </c>
      <c r="G43" s="45" t="s">
        <v>58</v>
      </c>
      <c r="H43" s="45" t="s">
        <v>145</v>
      </c>
      <c r="I43" s="45" t="s">
        <v>128</v>
      </c>
      <c r="J43" s="21" t="s">
        <v>132</v>
      </c>
      <c r="K43" s="22" t="s">
        <v>146</v>
      </c>
      <c r="L43" s="22"/>
      <c r="M43" s="22"/>
      <c r="N43" s="14"/>
      <c r="O43" s="14"/>
      <c r="P43" s="42" t="s">
        <v>125</v>
      </c>
      <c r="Q43" s="39" t="s">
        <v>94</v>
      </c>
    </row>
    <row r="44" spans="1:17" x14ac:dyDescent="0.25">
      <c r="A44" s="43"/>
      <c r="B44" s="41"/>
      <c r="C44" s="39"/>
      <c r="D44" s="43"/>
      <c r="E44" s="57"/>
      <c r="F44" s="46"/>
      <c r="G44" s="46"/>
      <c r="H44" s="46"/>
      <c r="I44" s="46"/>
      <c r="J44" s="20" t="s">
        <v>133</v>
      </c>
      <c r="K44" s="23" t="s">
        <v>33</v>
      </c>
      <c r="L44" s="24"/>
      <c r="M44" s="24"/>
      <c r="N44" s="23"/>
      <c r="O44" s="23"/>
      <c r="P44" s="43"/>
      <c r="Q44" s="39"/>
    </row>
    <row r="45" spans="1:17" ht="90" x14ac:dyDescent="0.25">
      <c r="A45" s="43"/>
      <c r="B45" s="41"/>
      <c r="C45" s="39"/>
      <c r="D45" s="44"/>
      <c r="E45" s="58"/>
      <c r="F45" s="47"/>
      <c r="G45" s="47"/>
      <c r="H45" s="47"/>
      <c r="I45" s="47"/>
      <c r="J45" s="16" t="s">
        <v>144</v>
      </c>
      <c r="K45" s="17" t="s">
        <v>140</v>
      </c>
      <c r="L45" s="26" t="s">
        <v>141</v>
      </c>
      <c r="M45" s="26" t="s">
        <v>147</v>
      </c>
      <c r="N45" s="29"/>
      <c r="O45" s="25"/>
      <c r="P45" s="44"/>
      <c r="Q45" s="39"/>
    </row>
    <row r="46" spans="1:17" x14ac:dyDescent="0.25">
      <c r="A46" s="43">
        <v>16</v>
      </c>
      <c r="B46" s="41"/>
      <c r="C46" s="39"/>
      <c r="D46" s="42">
        <f>COUNTIF($C$4:C46,C46)</f>
        <v>0</v>
      </c>
      <c r="E46" s="56" t="str">
        <f>_xlfn.TEXTJOIN("-",TRUE,B46,C46,TEXT(D46,"00"))</f>
        <v>00</v>
      </c>
      <c r="F46" s="45" t="s">
        <v>148</v>
      </c>
      <c r="G46" s="45" t="s">
        <v>58</v>
      </c>
      <c r="H46" s="38" t="s">
        <v>134</v>
      </c>
      <c r="I46" s="28" t="s">
        <v>135</v>
      </c>
      <c r="J46" s="21" t="s">
        <v>5</v>
      </c>
      <c r="K46" s="22" t="s">
        <v>136</v>
      </c>
      <c r="P46" s="42" t="s">
        <v>125</v>
      </c>
      <c r="Q46" s="39" t="s">
        <v>143</v>
      </c>
    </row>
    <row r="47" spans="1:17" x14ac:dyDescent="0.25">
      <c r="A47" s="43"/>
      <c r="B47" s="41"/>
      <c r="C47" s="39"/>
      <c r="D47" s="43"/>
      <c r="E47" s="57"/>
      <c r="F47" s="46"/>
      <c r="G47" s="46"/>
      <c r="J47" s="20" t="s">
        <v>6</v>
      </c>
      <c r="K47" s="23" t="s">
        <v>33</v>
      </c>
      <c r="P47" s="43"/>
      <c r="Q47" s="39"/>
    </row>
    <row r="48" spans="1:17" ht="60" x14ac:dyDescent="0.25">
      <c r="A48" s="43"/>
      <c r="B48" s="41"/>
      <c r="C48" s="39"/>
      <c r="D48" s="44"/>
      <c r="E48" s="58"/>
      <c r="F48" s="47"/>
      <c r="G48" s="47"/>
      <c r="H48" s="29"/>
      <c r="I48" s="29"/>
      <c r="J48" s="16" t="s">
        <v>7</v>
      </c>
      <c r="K48" s="17" t="s">
        <v>34</v>
      </c>
      <c r="L48" s="26" t="s">
        <v>35</v>
      </c>
      <c r="M48" s="26" t="s">
        <v>137</v>
      </c>
      <c r="N48" s="29"/>
      <c r="O48" s="29"/>
      <c r="P48" s="44"/>
      <c r="Q48" s="39"/>
    </row>
    <row r="50" spans="4:4" x14ac:dyDescent="0.25">
      <c r="D50" s="36"/>
    </row>
    <row r="51" spans="4:4" x14ac:dyDescent="0.25">
      <c r="D51" s="36"/>
    </row>
    <row r="52" spans="4:4" x14ac:dyDescent="0.25">
      <c r="D52" s="36"/>
    </row>
    <row r="53" spans="4:4" x14ac:dyDescent="0.25">
      <c r="D53" s="36"/>
    </row>
    <row r="54" spans="4:4" x14ac:dyDescent="0.25">
      <c r="D54" s="36"/>
    </row>
    <row r="55" spans="4:4" x14ac:dyDescent="0.25">
      <c r="D55" s="36"/>
    </row>
    <row r="56" spans="4:4" x14ac:dyDescent="0.25">
      <c r="D56" s="36"/>
    </row>
    <row r="57" spans="4:4" x14ac:dyDescent="0.25">
      <c r="D57" s="36"/>
    </row>
    <row r="58" spans="4:4" x14ac:dyDescent="0.25">
      <c r="D58" s="36"/>
    </row>
    <row r="59" spans="4:4" x14ac:dyDescent="0.25">
      <c r="D59" s="36"/>
    </row>
    <row r="60" spans="4:4" x14ac:dyDescent="0.25">
      <c r="D60" s="36"/>
    </row>
    <row r="61" spans="4:4" x14ac:dyDescent="0.25">
      <c r="D61" s="36"/>
    </row>
    <row r="62" spans="4:4" x14ac:dyDescent="0.25">
      <c r="D62" s="36"/>
    </row>
    <row r="63" spans="4:4" x14ac:dyDescent="0.25">
      <c r="D63" s="36"/>
    </row>
    <row r="64" spans="4:4" x14ac:dyDescent="0.25">
      <c r="D64" s="36"/>
    </row>
    <row r="65" spans="4:4" x14ac:dyDescent="0.25">
      <c r="D65" s="36"/>
    </row>
    <row r="66" spans="4:4" x14ac:dyDescent="0.25">
      <c r="D66" s="36"/>
    </row>
    <row r="67" spans="4:4" x14ac:dyDescent="0.25">
      <c r="D67" s="36"/>
    </row>
    <row r="68" spans="4:4" x14ac:dyDescent="0.25">
      <c r="D68" s="36"/>
    </row>
    <row r="69" spans="4:4" x14ac:dyDescent="0.25">
      <c r="D69" s="36"/>
    </row>
    <row r="70" spans="4:4" x14ac:dyDescent="0.25">
      <c r="D70" s="36"/>
    </row>
    <row r="71" spans="4:4" x14ac:dyDescent="0.25">
      <c r="D71" s="36"/>
    </row>
    <row r="72" spans="4:4" x14ac:dyDescent="0.25">
      <c r="D72" s="36"/>
    </row>
    <row r="73" spans="4:4" x14ac:dyDescent="0.25">
      <c r="D73" s="36"/>
    </row>
    <row r="74" spans="4:4" x14ac:dyDescent="0.25">
      <c r="D74" s="36"/>
    </row>
    <row r="75" spans="4:4" x14ac:dyDescent="0.25">
      <c r="D75" s="36"/>
    </row>
    <row r="76" spans="4:4" x14ac:dyDescent="0.25">
      <c r="D76" s="36"/>
    </row>
    <row r="77" spans="4:4" x14ac:dyDescent="0.25">
      <c r="D77" s="36"/>
    </row>
    <row r="78" spans="4:4" x14ac:dyDescent="0.25">
      <c r="D78" s="36"/>
    </row>
    <row r="79" spans="4:4" x14ac:dyDescent="0.25">
      <c r="D79" s="36"/>
    </row>
    <row r="80" spans="4:4" x14ac:dyDescent="0.25">
      <c r="D80" s="36"/>
    </row>
    <row r="81" spans="4:4" x14ac:dyDescent="0.25">
      <c r="D81" s="36"/>
    </row>
    <row r="82" spans="4:4" x14ac:dyDescent="0.25">
      <c r="D82" s="36"/>
    </row>
    <row r="83" spans="4:4" x14ac:dyDescent="0.25">
      <c r="D83" s="36"/>
    </row>
    <row r="84" spans="4:4" x14ac:dyDescent="0.25">
      <c r="D84" s="36"/>
    </row>
    <row r="85" spans="4:4" x14ac:dyDescent="0.25">
      <c r="D85" s="36"/>
    </row>
    <row r="86" spans="4:4" x14ac:dyDescent="0.25">
      <c r="D86" s="36"/>
    </row>
    <row r="87" spans="4:4" x14ac:dyDescent="0.25">
      <c r="D87" s="36"/>
    </row>
    <row r="88" spans="4:4" x14ac:dyDescent="0.25">
      <c r="D88" s="36"/>
    </row>
    <row r="89" spans="4:4" x14ac:dyDescent="0.25">
      <c r="D89" s="36"/>
    </row>
    <row r="90" spans="4:4" x14ac:dyDescent="0.25">
      <c r="D90" s="36"/>
    </row>
    <row r="91" spans="4:4" x14ac:dyDescent="0.25">
      <c r="D91" s="36"/>
    </row>
    <row r="92" spans="4:4" x14ac:dyDescent="0.25">
      <c r="D92" s="36"/>
    </row>
    <row r="93" spans="4:4" x14ac:dyDescent="0.25">
      <c r="D93" s="36"/>
    </row>
    <row r="94" spans="4:4" x14ac:dyDescent="0.25">
      <c r="D94" s="36"/>
    </row>
    <row r="95" spans="4:4" x14ac:dyDescent="0.25">
      <c r="D95" s="36"/>
    </row>
    <row r="96" spans="4:4" x14ac:dyDescent="0.25">
      <c r="D96" s="36"/>
    </row>
    <row r="97" spans="4:4" x14ac:dyDescent="0.25">
      <c r="D97" s="36"/>
    </row>
    <row r="98" spans="4:4" x14ac:dyDescent="0.25">
      <c r="D98" s="36"/>
    </row>
    <row r="99" spans="4:4" x14ac:dyDescent="0.25">
      <c r="D99" s="36"/>
    </row>
    <row r="100" spans="4:4" x14ac:dyDescent="0.25">
      <c r="D100" s="36"/>
    </row>
    <row r="101" spans="4:4" x14ac:dyDescent="0.25">
      <c r="D101" s="36"/>
    </row>
    <row r="102" spans="4:4" x14ac:dyDescent="0.25">
      <c r="D102" s="36"/>
    </row>
    <row r="103" spans="4:4" x14ac:dyDescent="0.25">
      <c r="D103" s="36"/>
    </row>
    <row r="104" spans="4:4" x14ac:dyDescent="0.25">
      <c r="D104" s="36"/>
    </row>
    <row r="105" spans="4:4" x14ac:dyDescent="0.25">
      <c r="D105" s="36"/>
    </row>
    <row r="106" spans="4:4" x14ac:dyDescent="0.25">
      <c r="D106" s="36"/>
    </row>
    <row r="107" spans="4:4" x14ac:dyDescent="0.25">
      <c r="D107" s="36"/>
    </row>
    <row r="108" spans="4:4" x14ac:dyDescent="0.25">
      <c r="D108" s="36"/>
    </row>
    <row r="109" spans="4:4" x14ac:dyDescent="0.25">
      <c r="D109" s="36"/>
    </row>
    <row r="110" spans="4:4" x14ac:dyDescent="0.25">
      <c r="D110" s="36"/>
    </row>
    <row r="111" spans="4:4" x14ac:dyDescent="0.25">
      <c r="D111" s="36"/>
    </row>
    <row r="112" spans="4:4" x14ac:dyDescent="0.25">
      <c r="D112" s="36"/>
    </row>
    <row r="113" spans="4:4" x14ac:dyDescent="0.25">
      <c r="D113" s="36"/>
    </row>
    <row r="114" spans="4:4" x14ac:dyDescent="0.25">
      <c r="D114" s="36"/>
    </row>
    <row r="115" spans="4:4" x14ac:dyDescent="0.25">
      <c r="D115" s="36"/>
    </row>
    <row r="116" spans="4:4" x14ac:dyDescent="0.25">
      <c r="D116" s="36"/>
    </row>
    <row r="117" spans="4:4" x14ac:dyDescent="0.25">
      <c r="D117" s="36"/>
    </row>
    <row r="118" spans="4:4" x14ac:dyDescent="0.25">
      <c r="D118" s="36"/>
    </row>
    <row r="119" spans="4:4" x14ac:dyDescent="0.25">
      <c r="D119" s="36"/>
    </row>
    <row r="120" spans="4:4" x14ac:dyDescent="0.25">
      <c r="D120" s="36"/>
    </row>
    <row r="121" spans="4:4" x14ac:dyDescent="0.25">
      <c r="D121" s="36"/>
    </row>
    <row r="122" spans="4:4" x14ac:dyDescent="0.25">
      <c r="D122" s="36"/>
    </row>
    <row r="123" spans="4:4" x14ac:dyDescent="0.25">
      <c r="D123" s="36"/>
    </row>
    <row r="124" spans="4:4" x14ac:dyDescent="0.25">
      <c r="D124" s="36"/>
    </row>
    <row r="125" spans="4:4" x14ac:dyDescent="0.25">
      <c r="D125" s="36"/>
    </row>
    <row r="126" spans="4:4" x14ac:dyDescent="0.25">
      <c r="D126" s="36"/>
    </row>
    <row r="127" spans="4:4" x14ac:dyDescent="0.25">
      <c r="D127" s="36"/>
    </row>
    <row r="128" spans="4:4" x14ac:dyDescent="0.25">
      <c r="D128" s="36"/>
    </row>
    <row r="129" spans="4:4" x14ac:dyDescent="0.25">
      <c r="D129" s="36"/>
    </row>
    <row r="130" spans="4:4" x14ac:dyDescent="0.25">
      <c r="D130" s="36"/>
    </row>
    <row r="131" spans="4:4" x14ac:dyDescent="0.25">
      <c r="D131" s="36"/>
    </row>
    <row r="132" spans="4:4" x14ac:dyDescent="0.25">
      <c r="D132" s="36"/>
    </row>
    <row r="133" spans="4:4" x14ac:dyDescent="0.25">
      <c r="D133" s="36"/>
    </row>
    <row r="134" spans="4:4" x14ac:dyDescent="0.25">
      <c r="D134" s="36"/>
    </row>
    <row r="135" spans="4:4" x14ac:dyDescent="0.25">
      <c r="D135" s="36"/>
    </row>
    <row r="136" spans="4:4" x14ac:dyDescent="0.25">
      <c r="D136" s="36"/>
    </row>
    <row r="137" spans="4:4" x14ac:dyDescent="0.25">
      <c r="D137" s="36"/>
    </row>
    <row r="138" spans="4:4" x14ac:dyDescent="0.25">
      <c r="D138" s="36"/>
    </row>
    <row r="139" spans="4:4" x14ac:dyDescent="0.25">
      <c r="D139" s="36"/>
    </row>
    <row r="140" spans="4:4" x14ac:dyDescent="0.25">
      <c r="D140" s="36"/>
    </row>
    <row r="141" spans="4:4" x14ac:dyDescent="0.25">
      <c r="D141" s="36"/>
    </row>
    <row r="142" spans="4:4" x14ac:dyDescent="0.25">
      <c r="D142" s="36"/>
    </row>
    <row r="143" spans="4:4" x14ac:dyDescent="0.25">
      <c r="D143" s="36"/>
    </row>
    <row r="144" spans="4:4" x14ac:dyDescent="0.25">
      <c r="D144" s="36"/>
    </row>
    <row r="145" spans="4:4" x14ac:dyDescent="0.25">
      <c r="D145" s="36"/>
    </row>
    <row r="146" spans="4:4" x14ac:dyDescent="0.25">
      <c r="D146" s="36"/>
    </row>
    <row r="147" spans="4:4" x14ac:dyDescent="0.25">
      <c r="D147" s="36"/>
    </row>
    <row r="148" spans="4:4" x14ac:dyDescent="0.25">
      <c r="D148" s="36"/>
    </row>
    <row r="149" spans="4:4" x14ac:dyDescent="0.25">
      <c r="D149" s="36"/>
    </row>
    <row r="150" spans="4:4" x14ac:dyDescent="0.25">
      <c r="D150" s="36"/>
    </row>
    <row r="151" spans="4:4" x14ac:dyDescent="0.25">
      <c r="D151" s="36"/>
    </row>
    <row r="152" spans="4:4" x14ac:dyDescent="0.25">
      <c r="D152" s="36"/>
    </row>
    <row r="153" spans="4:4" x14ac:dyDescent="0.25">
      <c r="D153" s="36"/>
    </row>
    <row r="154" spans="4:4" x14ac:dyDescent="0.25">
      <c r="D154" s="36"/>
    </row>
    <row r="155" spans="4:4" x14ac:dyDescent="0.25">
      <c r="D155" s="36"/>
    </row>
    <row r="156" spans="4:4" x14ac:dyDescent="0.25">
      <c r="D156" s="36"/>
    </row>
    <row r="157" spans="4:4" x14ac:dyDescent="0.25">
      <c r="D157" s="36"/>
    </row>
    <row r="158" spans="4:4" x14ac:dyDescent="0.25">
      <c r="D158" s="36"/>
    </row>
    <row r="159" spans="4:4" x14ac:dyDescent="0.25">
      <c r="D159" s="36"/>
    </row>
    <row r="160" spans="4:4" x14ac:dyDescent="0.25">
      <c r="D160" s="36"/>
    </row>
    <row r="161" spans="4:4" x14ac:dyDescent="0.25">
      <c r="D161" s="36"/>
    </row>
    <row r="162" spans="4:4" x14ac:dyDescent="0.25">
      <c r="D162" s="36"/>
    </row>
    <row r="163" spans="4:4" x14ac:dyDescent="0.25">
      <c r="D163" s="36"/>
    </row>
    <row r="164" spans="4:4" x14ac:dyDescent="0.25">
      <c r="D164" s="36"/>
    </row>
    <row r="165" spans="4:4" x14ac:dyDescent="0.25">
      <c r="D165" s="36"/>
    </row>
  </sheetData>
  <mergeCells count="168">
    <mergeCell ref="O1:O3"/>
    <mergeCell ref="P46:P48"/>
    <mergeCell ref="Q46:Q48"/>
    <mergeCell ref="A43:A45"/>
    <mergeCell ref="B43:B45"/>
    <mergeCell ref="C43:C45"/>
    <mergeCell ref="D43:D45"/>
    <mergeCell ref="E43:E45"/>
    <mergeCell ref="F43:F45"/>
    <mergeCell ref="G43:G45"/>
    <mergeCell ref="H43:H45"/>
    <mergeCell ref="I43:I45"/>
    <mergeCell ref="P43:P45"/>
    <mergeCell ref="Q43:Q45"/>
    <mergeCell ref="B46:B48"/>
    <mergeCell ref="C46:C48"/>
    <mergeCell ref="D46:D48"/>
    <mergeCell ref="E46:E48"/>
    <mergeCell ref="F46:F48"/>
    <mergeCell ref="G46:G48"/>
    <mergeCell ref="A7:A9"/>
    <mergeCell ref="A10:A12"/>
    <mergeCell ref="A13:A15"/>
    <mergeCell ref="A16:A18"/>
    <mergeCell ref="A19:A21"/>
    <mergeCell ref="A22:A24"/>
    <mergeCell ref="A25:A27"/>
    <mergeCell ref="A28:A30"/>
    <mergeCell ref="A31:A33"/>
    <mergeCell ref="A34:A36"/>
    <mergeCell ref="A37:A39"/>
    <mergeCell ref="A40:A42"/>
    <mergeCell ref="A46:A48"/>
    <mergeCell ref="Q40:Q42"/>
    <mergeCell ref="P31:P33"/>
    <mergeCell ref="P34:P36"/>
    <mergeCell ref="P37:P39"/>
    <mergeCell ref="B40:B42"/>
    <mergeCell ref="C40:C42"/>
    <mergeCell ref="D40:D42"/>
    <mergeCell ref="E40:E42"/>
    <mergeCell ref="F40:F42"/>
    <mergeCell ref="G40:G42"/>
    <mergeCell ref="H40:H42"/>
    <mergeCell ref="I40:I42"/>
    <mergeCell ref="P40:P42"/>
    <mergeCell ref="D34:D36"/>
    <mergeCell ref="F34:F36"/>
    <mergeCell ref="G34:G36"/>
    <mergeCell ref="H34:H36"/>
    <mergeCell ref="I34:I36"/>
    <mergeCell ref="E34:E36"/>
    <mergeCell ref="D37:D39"/>
    <mergeCell ref="P1:P3"/>
    <mergeCell ref="P7:P9"/>
    <mergeCell ref="P10:P12"/>
    <mergeCell ref="P13:P15"/>
    <mergeCell ref="P16:P18"/>
    <mergeCell ref="P19:P21"/>
    <mergeCell ref="P22:P24"/>
    <mergeCell ref="P25:P27"/>
    <mergeCell ref="P28:P30"/>
    <mergeCell ref="J2:J3"/>
    <mergeCell ref="G2:G3"/>
    <mergeCell ref="F2:F3"/>
    <mergeCell ref="D7:D9"/>
    <mergeCell ref="I19:I21"/>
    <mergeCell ref="D1:D3"/>
    <mergeCell ref="D13:D15"/>
    <mergeCell ref="D10:D12"/>
    <mergeCell ref="I10:I12"/>
    <mergeCell ref="E7:E9"/>
    <mergeCell ref="E10:E12"/>
    <mergeCell ref="F37:F39"/>
    <mergeCell ref="G37:G39"/>
    <mergeCell ref="H37:H39"/>
    <mergeCell ref="I37:I39"/>
    <mergeCell ref="E37:E39"/>
    <mergeCell ref="M1:M3"/>
    <mergeCell ref="L1:L3"/>
    <mergeCell ref="K2:K3"/>
    <mergeCell ref="F1:K1"/>
    <mergeCell ref="H2:I2"/>
    <mergeCell ref="N1:N3"/>
    <mergeCell ref="F13:F15"/>
    <mergeCell ref="G13:G15"/>
    <mergeCell ref="H13:H15"/>
    <mergeCell ref="I13:I15"/>
    <mergeCell ref="E13:E15"/>
    <mergeCell ref="F7:F9"/>
    <mergeCell ref="G7:G9"/>
    <mergeCell ref="H7:H9"/>
    <mergeCell ref="I7:I9"/>
    <mergeCell ref="F10:F12"/>
    <mergeCell ref="G10:G12"/>
    <mergeCell ref="H10:H12"/>
    <mergeCell ref="I31:I33"/>
    <mergeCell ref="I28:I30"/>
    <mergeCell ref="D22:D24"/>
    <mergeCell ref="I16:I18"/>
    <mergeCell ref="E16:E18"/>
    <mergeCell ref="E22:E24"/>
    <mergeCell ref="E19:E21"/>
    <mergeCell ref="E25:E27"/>
    <mergeCell ref="E28:E30"/>
    <mergeCell ref="E31:E33"/>
    <mergeCell ref="H28:H30"/>
    <mergeCell ref="G28:G30"/>
    <mergeCell ref="F28:F30"/>
    <mergeCell ref="F25:F27"/>
    <mergeCell ref="G25:G27"/>
    <mergeCell ref="H25:H27"/>
    <mergeCell ref="D19:D21"/>
    <mergeCell ref="F19:F21"/>
    <mergeCell ref="G19:G21"/>
    <mergeCell ref="H19:H21"/>
    <mergeCell ref="D25:D27"/>
    <mergeCell ref="D28:D30"/>
    <mergeCell ref="I25:I27"/>
    <mergeCell ref="I22:I24"/>
    <mergeCell ref="D16:D18"/>
    <mergeCell ref="F16:F18"/>
    <mergeCell ref="G16:G18"/>
    <mergeCell ref="H16:H18"/>
    <mergeCell ref="B1:B3"/>
    <mergeCell ref="C1:C3"/>
    <mergeCell ref="E1:E3"/>
    <mergeCell ref="D31:D33"/>
    <mergeCell ref="F31:F33"/>
    <mergeCell ref="G31:G33"/>
    <mergeCell ref="H31:H33"/>
    <mergeCell ref="H22:H24"/>
    <mergeCell ref="G22:G24"/>
    <mergeCell ref="F22:F24"/>
    <mergeCell ref="B34:B36"/>
    <mergeCell ref="B37:B39"/>
    <mergeCell ref="C7:C9"/>
    <mergeCell ref="C10:C12"/>
    <mergeCell ref="C13:C15"/>
    <mergeCell ref="C16:C18"/>
    <mergeCell ref="C22:C24"/>
    <mergeCell ref="C19:C21"/>
    <mergeCell ref="C25:C27"/>
    <mergeCell ref="C28:C30"/>
    <mergeCell ref="C31:C33"/>
    <mergeCell ref="C34:C36"/>
    <mergeCell ref="C37:C39"/>
    <mergeCell ref="B22:B24"/>
    <mergeCell ref="B19:B21"/>
    <mergeCell ref="B25:B27"/>
    <mergeCell ref="B28:B30"/>
    <mergeCell ref="B31:B33"/>
    <mergeCell ref="B7:B9"/>
    <mergeCell ref="B10:B12"/>
    <mergeCell ref="B13:B15"/>
    <mergeCell ref="B16:B18"/>
    <mergeCell ref="Q34:Q36"/>
    <mergeCell ref="Q37:Q39"/>
    <mergeCell ref="Q22:Q24"/>
    <mergeCell ref="Q19:Q21"/>
    <mergeCell ref="Q25:Q27"/>
    <mergeCell ref="Q28:Q30"/>
    <mergeCell ref="Q31:Q33"/>
    <mergeCell ref="Q1:Q3"/>
    <mergeCell ref="Q7:Q9"/>
    <mergeCell ref="Q10:Q12"/>
    <mergeCell ref="Q13:Q15"/>
    <mergeCell ref="Q16:Q18"/>
  </mergeCells>
  <phoneticPr fontId="1" type="noConversion"/>
  <pageMargins left="0.25" right="0.25" top="0.75" bottom="0.75" header="0.3" footer="0.3"/>
  <pageSetup paperSize="9" scale="37"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ADB99-5D0F-46B6-A861-F4B2EBAA5FF8}">
  <sheetPr>
    <pageSetUpPr fitToPage="1"/>
  </sheetPr>
  <dimension ref="A1:M32"/>
  <sheetViews>
    <sheetView zoomScale="85" zoomScaleNormal="85" workbookViewId="0">
      <selection activeCell="E5" sqref="E5"/>
    </sheetView>
  </sheetViews>
  <sheetFormatPr defaultRowHeight="15" x14ac:dyDescent="0.25"/>
  <cols>
    <col min="1" max="1" width="16.28515625" style="4" bestFit="1" customWidth="1"/>
    <col min="2" max="2" width="13.7109375" style="4" bestFit="1" customWidth="1"/>
    <col min="3" max="3" width="15.85546875" style="4" bestFit="1" customWidth="1"/>
    <col min="4" max="4" width="10.5703125" style="1" bestFit="1" customWidth="1"/>
    <col min="5" max="5" width="31" customWidth="1"/>
    <col min="6" max="6" width="43.7109375" customWidth="1"/>
    <col min="7" max="8" width="10" customWidth="1"/>
    <col min="9" max="9" width="9.28515625" bestFit="1" customWidth="1"/>
    <col min="10" max="10" width="54.85546875" customWidth="1"/>
    <col min="11" max="11" width="43.5703125" customWidth="1"/>
    <col min="12" max="12" width="61.42578125" customWidth="1"/>
  </cols>
  <sheetData>
    <row r="1" spans="1:13" x14ac:dyDescent="0.25">
      <c r="A1" s="79" t="s">
        <v>60</v>
      </c>
      <c r="B1" s="59" t="s">
        <v>59</v>
      </c>
      <c r="C1" s="59" t="s">
        <v>123</v>
      </c>
      <c r="D1" s="88" t="s">
        <v>27</v>
      </c>
      <c r="E1" s="64" t="s">
        <v>25</v>
      </c>
      <c r="F1" s="64"/>
      <c r="G1" s="64"/>
      <c r="H1" s="64"/>
      <c r="I1" s="64"/>
      <c r="J1" s="64"/>
      <c r="K1" s="59" t="s">
        <v>1</v>
      </c>
      <c r="L1" s="85" t="s">
        <v>2</v>
      </c>
    </row>
    <row r="2" spans="1:13" x14ac:dyDescent="0.25">
      <c r="A2" s="80"/>
      <c r="B2" s="60"/>
      <c r="C2" s="60"/>
      <c r="D2" s="65"/>
      <c r="E2" s="65" t="s">
        <v>19</v>
      </c>
      <c r="F2" s="65" t="s">
        <v>20</v>
      </c>
      <c r="G2" s="65" t="s">
        <v>21</v>
      </c>
      <c r="H2" s="65"/>
      <c r="I2" s="62" t="s">
        <v>3</v>
      </c>
      <c r="J2" s="62" t="s">
        <v>4</v>
      </c>
      <c r="K2" s="60"/>
      <c r="L2" s="86"/>
    </row>
    <row r="3" spans="1:13" ht="15.75" thickBot="1" x14ac:dyDescent="0.3">
      <c r="A3" s="81"/>
      <c r="B3" s="61"/>
      <c r="C3" s="61"/>
      <c r="D3" s="69"/>
      <c r="E3" s="69"/>
      <c r="F3" s="69"/>
      <c r="G3" s="11" t="s">
        <v>28</v>
      </c>
      <c r="H3" s="11" t="s">
        <v>29</v>
      </c>
      <c r="I3" s="63"/>
      <c r="J3" s="63"/>
      <c r="K3" s="61"/>
      <c r="L3" s="87"/>
    </row>
    <row r="4" spans="1:13" ht="15.75" x14ac:dyDescent="0.25">
      <c r="A4" s="16"/>
      <c r="B4" s="16"/>
      <c r="C4" s="16"/>
      <c r="D4" s="12" t="s">
        <v>85</v>
      </c>
      <c r="E4" s="15"/>
      <c r="F4" s="15"/>
      <c r="G4" s="17"/>
      <c r="H4" s="17"/>
      <c r="I4" s="15"/>
      <c r="J4" s="17"/>
      <c r="K4" s="17"/>
      <c r="L4" s="17"/>
    </row>
    <row r="5" spans="1:13" ht="15.75" x14ac:dyDescent="0.25">
      <c r="A5" s="16"/>
      <c r="B5" s="16"/>
      <c r="C5" s="16"/>
      <c r="D5" s="13" t="s">
        <v>86</v>
      </c>
      <c r="E5" s="18"/>
      <c r="F5" s="15"/>
      <c r="G5" s="19"/>
      <c r="H5" s="19"/>
      <c r="I5" s="18"/>
      <c r="J5" s="19"/>
      <c r="K5" s="19"/>
      <c r="L5" s="19"/>
    </row>
    <row r="6" spans="1:13" x14ac:dyDescent="0.25">
      <c r="A6" s="43"/>
      <c r="B6" s="43"/>
      <c r="C6" s="43"/>
      <c r="D6" s="76" t="s">
        <v>87</v>
      </c>
      <c r="E6" s="45"/>
      <c r="F6" s="45"/>
      <c r="G6" s="42"/>
      <c r="H6" s="42"/>
      <c r="I6" s="21"/>
      <c r="J6" s="14"/>
      <c r="K6" s="22"/>
      <c r="L6" s="22"/>
    </row>
    <row r="7" spans="1:13" x14ac:dyDescent="0.25">
      <c r="A7" s="43"/>
      <c r="B7" s="43"/>
      <c r="C7" s="43"/>
      <c r="D7" s="77"/>
      <c r="E7" s="46"/>
      <c r="F7" s="46"/>
      <c r="G7" s="43"/>
      <c r="H7" s="43"/>
      <c r="I7" s="20"/>
      <c r="J7" s="23"/>
      <c r="K7" s="24"/>
      <c r="L7" s="24"/>
    </row>
    <row r="8" spans="1:13" x14ac:dyDescent="0.25">
      <c r="A8" s="44"/>
      <c r="B8" s="44"/>
      <c r="C8" s="44"/>
      <c r="D8" s="78"/>
      <c r="E8" s="47"/>
      <c r="F8" s="47"/>
      <c r="G8" s="44"/>
      <c r="H8" s="44"/>
      <c r="I8" s="16"/>
      <c r="J8" s="25"/>
      <c r="K8" s="26"/>
      <c r="L8" s="17"/>
    </row>
    <row r="9" spans="1:13" x14ac:dyDescent="0.25">
      <c r="A9" s="43"/>
      <c r="B9" s="43"/>
      <c r="C9" s="43"/>
      <c r="D9" s="76" t="s">
        <v>88</v>
      </c>
      <c r="E9" s="45"/>
      <c r="F9" s="45"/>
      <c r="G9" s="42"/>
      <c r="H9" s="42"/>
      <c r="I9" s="20"/>
      <c r="J9" s="23"/>
      <c r="K9" s="24"/>
      <c r="L9" s="24"/>
    </row>
    <row r="10" spans="1:13" x14ac:dyDescent="0.25">
      <c r="A10" s="43"/>
      <c r="B10" s="43"/>
      <c r="C10" s="43"/>
      <c r="D10" s="77"/>
      <c r="E10" s="46"/>
      <c r="F10" s="46"/>
      <c r="G10" s="43"/>
      <c r="H10" s="43"/>
      <c r="I10" s="20"/>
      <c r="J10" s="23"/>
      <c r="K10" s="24"/>
      <c r="L10" s="24"/>
    </row>
    <row r="11" spans="1:13" x14ac:dyDescent="0.25">
      <c r="A11" s="44"/>
      <c r="B11" s="44"/>
      <c r="C11" s="44"/>
      <c r="D11" s="78"/>
      <c r="E11" s="47"/>
      <c r="F11" s="47"/>
      <c r="G11" s="44"/>
      <c r="H11" s="44"/>
      <c r="I11" s="16"/>
      <c r="J11" s="25"/>
      <c r="K11" s="26"/>
      <c r="L11" s="17"/>
    </row>
    <row r="12" spans="1:13" s="2" customFormat="1" x14ac:dyDescent="0.25">
      <c r="A12" s="43"/>
      <c r="B12" s="43"/>
      <c r="C12" s="43"/>
      <c r="D12" s="76" t="s">
        <v>89</v>
      </c>
      <c r="E12" s="45"/>
      <c r="F12" s="45"/>
      <c r="G12" s="42"/>
      <c r="H12" s="42"/>
      <c r="I12" s="20"/>
      <c r="J12" s="23"/>
      <c r="K12" s="24"/>
      <c r="L12" s="24"/>
    </row>
    <row r="13" spans="1:13" s="2" customFormat="1" x14ac:dyDescent="0.25">
      <c r="A13" s="43"/>
      <c r="B13" s="43"/>
      <c r="C13" s="43"/>
      <c r="D13" s="77"/>
      <c r="E13" s="46"/>
      <c r="F13" s="46"/>
      <c r="G13" s="43"/>
      <c r="H13" s="43"/>
      <c r="I13" s="20"/>
      <c r="J13" s="23"/>
      <c r="K13" s="24"/>
      <c r="L13" s="24"/>
    </row>
    <row r="14" spans="1:13" s="2" customFormat="1" x14ac:dyDescent="0.25">
      <c r="A14" s="44"/>
      <c r="B14" s="44"/>
      <c r="C14" s="44"/>
      <c r="D14" s="78"/>
      <c r="E14" s="47"/>
      <c r="F14" s="47"/>
      <c r="G14" s="44"/>
      <c r="H14" s="44"/>
      <c r="I14" s="16"/>
      <c r="J14" s="25"/>
      <c r="K14" s="26"/>
      <c r="L14" s="17"/>
      <c r="M14"/>
    </row>
    <row r="15" spans="1:13" x14ac:dyDescent="0.25">
      <c r="A15" s="43"/>
      <c r="B15" s="43"/>
      <c r="C15" s="43"/>
      <c r="D15" s="76" t="s">
        <v>90</v>
      </c>
      <c r="E15" s="45"/>
      <c r="F15" s="45"/>
      <c r="G15" s="42"/>
      <c r="H15" s="42"/>
      <c r="I15" s="20"/>
      <c r="J15" s="23"/>
      <c r="K15" s="24"/>
      <c r="L15" s="24"/>
    </row>
    <row r="16" spans="1:13" x14ac:dyDescent="0.25">
      <c r="A16" s="43"/>
      <c r="B16" s="43"/>
      <c r="C16" s="43"/>
      <c r="D16" s="77"/>
      <c r="E16" s="46"/>
      <c r="F16" s="46"/>
      <c r="G16" s="43"/>
      <c r="H16" s="43"/>
      <c r="I16" s="20"/>
      <c r="J16" s="23"/>
      <c r="K16" s="24"/>
      <c r="L16" s="24"/>
    </row>
    <row r="17" spans="1:13" x14ac:dyDescent="0.25">
      <c r="A17" s="44"/>
      <c r="B17" s="44"/>
      <c r="C17" s="44"/>
      <c r="D17" s="78"/>
      <c r="E17" s="47"/>
      <c r="F17" s="47"/>
      <c r="G17" s="44"/>
      <c r="H17" s="44"/>
      <c r="I17" s="16"/>
      <c r="J17" s="25"/>
      <c r="K17" s="26"/>
      <c r="L17" s="17"/>
    </row>
    <row r="18" spans="1:13" x14ac:dyDescent="0.25">
      <c r="A18" s="43"/>
      <c r="B18" s="43"/>
      <c r="C18" s="43"/>
      <c r="D18" s="76" t="s">
        <v>91</v>
      </c>
      <c r="E18" s="45" t="s">
        <v>127</v>
      </c>
      <c r="F18" s="45" t="s">
        <v>58</v>
      </c>
      <c r="G18" s="43" t="s">
        <v>55</v>
      </c>
      <c r="H18" s="42" t="s">
        <v>56</v>
      </c>
      <c r="I18" s="20" t="s">
        <v>5</v>
      </c>
      <c r="J18" s="23" t="s">
        <v>46</v>
      </c>
      <c r="K18" s="24"/>
      <c r="L18" s="24"/>
    </row>
    <row r="19" spans="1:13" x14ac:dyDescent="0.25">
      <c r="A19" s="43"/>
      <c r="B19" s="43"/>
      <c r="C19" s="43"/>
      <c r="D19" s="77"/>
      <c r="E19" s="46"/>
      <c r="F19" s="46"/>
      <c r="G19" s="43"/>
      <c r="H19" s="43"/>
      <c r="I19" s="20" t="s">
        <v>6</v>
      </c>
      <c r="J19" s="23" t="s">
        <v>33</v>
      </c>
      <c r="K19" s="24"/>
      <c r="L19" s="24"/>
    </row>
    <row r="20" spans="1:13" ht="45" x14ac:dyDescent="0.25">
      <c r="A20" s="44"/>
      <c r="B20" s="44"/>
      <c r="C20" s="44"/>
      <c r="D20" s="78"/>
      <c r="E20" s="47"/>
      <c r="F20" s="47"/>
      <c r="G20" s="43"/>
      <c r="H20" s="44"/>
      <c r="I20" s="16" t="s">
        <v>7</v>
      </c>
      <c r="J20" s="25" t="s">
        <v>34</v>
      </c>
      <c r="K20" s="27" t="s">
        <v>61</v>
      </c>
      <c r="L20" s="17" t="s">
        <v>57</v>
      </c>
    </row>
    <row r="21" spans="1:13" x14ac:dyDescent="0.25">
      <c r="A21" s="43"/>
      <c r="B21" s="43"/>
      <c r="C21" s="43"/>
      <c r="D21" s="76" t="s">
        <v>92</v>
      </c>
      <c r="E21" s="45" t="s">
        <v>126</v>
      </c>
      <c r="F21" s="45" t="s">
        <v>58</v>
      </c>
      <c r="G21" s="42" t="s">
        <v>37</v>
      </c>
      <c r="H21" s="42" t="s">
        <v>31</v>
      </c>
      <c r="I21" s="20" t="s">
        <v>5</v>
      </c>
      <c r="J21" s="14" t="s">
        <v>32</v>
      </c>
      <c r="K21" s="22"/>
      <c r="L21" s="22"/>
      <c r="M21" s="2"/>
    </row>
    <row r="22" spans="1:13" x14ac:dyDescent="0.25">
      <c r="A22" s="43"/>
      <c r="B22" s="43"/>
      <c r="C22" s="43"/>
      <c r="D22" s="77"/>
      <c r="E22" s="46"/>
      <c r="F22" s="46"/>
      <c r="G22" s="43"/>
      <c r="H22" s="43"/>
      <c r="I22" s="20" t="s">
        <v>6</v>
      </c>
      <c r="J22" s="23" t="s">
        <v>33</v>
      </c>
      <c r="K22" s="24"/>
      <c r="L22" s="24"/>
      <c r="M22" s="2"/>
    </row>
    <row r="23" spans="1:13" ht="45" x14ac:dyDescent="0.25">
      <c r="A23" s="44"/>
      <c r="B23" s="44"/>
      <c r="C23" s="44"/>
      <c r="D23" s="78"/>
      <c r="E23" s="47"/>
      <c r="F23" s="47"/>
      <c r="G23" s="44"/>
      <c r="H23" s="44"/>
      <c r="I23" s="20" t="s">
        <v>7</v>
      </c>
      <c r="J23" s="25" t="s">
        <v>34</v>
      </c>
      <c r="K23" s="26" t="s">
        <v>35</v>
      </c>
      <c r="L23" s="26" t="s">
        <v>43</v>
      </c>
    </row>
    <row r="24" spans="1:13" x14ac:dyDescent="0.25">
      <c r="A24" s="43"/>
      <c r="B24" s="43"/>
      <c r="C24" s="46"/>
      <c r="D24" s="76" t="s">
        <v>93</v>
      </c>
      <c r="E24" s="45" t="s">
        <v>54</v>
      </c>
      <c r="F24" s="45" t="s">
        <v>58</v>
      </c>
      <c r="G24" s="42" t="s">
        <v>30</v>
      </c>
      <c r="H24" s="42" t="s">
        <v>31</v>
      </c>
      <c r="I24" s="21" t="s">
        <v>5</v>
      </c>
      <c r="J24" s="14" t="s">
        <v>32</v>
      </c>
      <c r="K24" s="22"/>
      <c r="L24" s="22"/>
      <c r="M24" s="2"/>
    </row>
    <row r="25" spans="1:13" x14ac:dyDescent="0.25">
      <c r="A25" s="43"/>
      <c r="B25" s="43"/>
      <c r="C25" s="43"/>
      <c r="D25" s="77"/>
      <c r="E25" s="46"/>
      <c r="F25" s="46"/>
      <c r="G25" s="43"/>
      <c r="H25" s="43"/>
      <c r="I25" s="20" t="s">
        <v>6</v>
      </c>
      <c r="J25" s="23" t="s">
        <v>33</v>
      </c>
      <c r="K25" s="24"/>
      <c r="L25" s="24"/>
      <c r="M25" s="2"/>
    </row>
    <row r="26" spans="1:13" ht="84" customHeight="1" x14ac:dyDescent="0.25">
      <c r="A26" s="44"/>
      <c r="B26" s="44"/>
      <c r="C26" s="44"/>
      <c r="D26" s="78"/>
      <c r="E26" s="47"/>
      <c r="F26" s="47"/>
      <c r="G26" s="44"/>
      <c r="H26" s="44"/>
      <c r="I26" s="16" t="s">
        <v>7</v>
      </c>
      <c r="J26" s="25" t="s">
        <v>34</v>
      </c>
      <c r="K26" s="26" t="s">
        <v>35</v>
      </c>
      <c r="L26" s="17" t="s">
        <v>36</v>
      </c>
    </row>
    <row r="27" spans="1:13" ht="30" customHeight="1" x14ac:dyDescent="0.25">
      <c r="A27" s="42"/>
      <c r="B27" s="42"/>
      <c r="C27" s="45"/>
      <c r="D27" s="76" t="s">
        <v>94</v>
      </c>
      <c r="E27" s="45" t="s">
        <v>131</v>
      </c>
      <c r="F27" s="45" t="s">
        <v>58</v>
      </c>
      <c r="G27" s="45" t="s">
        <v>129</v>
      </c>
      <c r="H27" s="45" t="s">
        <v>128</v>
      </c>
      <c r="I27" s="21" t="s">
        <v>5</v>
      </c>
      <c r="J27" s="14" t="s">
        <v>130</v>
      </c>
      <c r="K27" s="22"/>
      <c r="L27" s="22"/>
    </row>
    <row r="28" spans="1:13" x14ac:dyDescent="0.25">
      <c r="A28" s="43"/>
      <c r="B28" s="43"/>
      <c r="C28" s="43"/>
      <c r="D28" s="77"/>
      <c r="E28" s="46"/>
      <c r="F28" s="46"/>
      <c r="G28" s="46"/>
      <c r="H28" s="46"/>
      <c r="I28" s="20" t="s">
        <v>6</v>
      </c>
      <c r="J28" s="23" t="s">
        <v>33</v>
      </c>
      <c r="K28" s="24"/>
      <c r="L28" s="24"/>
    </row>
    <row r="29" spans="1:13" ht="90" x14ac:dyDescent="0.25">
      <c r="A29" s="44"/>
      <c r="B29" s="44"/>
      <c r="C29" s="44"/>
      <c r="D29" s="77"/>
      <c r="E29" s="46"/>
      <c r="F29" s="47"/>
      <c r="G29" s="47"/>
      <c r="H29" s="47"/>
      <c r="I29" s="16" t="s">
        <v>7</v>
      </c>
      <c r="J29" s="25" t="s">
        <v>34</v>
      </c>
      <c r="K29" s="26" t="s">
        <v>141</v>
      </c>
      <c r="L29" s="26" t="s">
        <v>142</v>
      </c>
    </row>
    <row r="30" spans="1:13" x14ac:dyDescent="0.25">
      <c r="A30" s="42"/>
      <c r="B30" s="42"/>
      <c r="C30" s="45"/>
      <c r="D30" s="76" t="s">
        <v>143</v>
      </c>
      <c r="E30" s="45" t="s">
        <v>149</v>
      </c>
      <c r="F30" s="45" t="s">
        <v>58</v>
      </c>
      <c r="G30" s="82" t="s">
        <v>134</v>
      </c>
      <c r="H30" s="42" t="s">
        <v>135</v>
      </c>
      <c r="I30" s="21" t="s">
        <v>5</v>
      </c>
      <c r="J30" s="22" t="s">
        <v>136</v>
      </c>
      <c r="K30" s="27"/>
      <c r="L30" s="27"/>
    </row>
    <row r="31" spans="1:13" x14ac:dyDescent="0.25">
      <c r="A31" s="43"/>
      <c r="B31" s="43"/>
      <c r="C31" s="43"/>
      <c r="D31" s="77"/>
      <c r="E31" s="46"/>
      <c r="F31" s="46"/>
      <c r="G31" s="83"/>
      <c r="H31" s="43"/>
      <c r="I31" s="20" t="s">
        <v>6</v>
      </c>
      <c r="J31" s="23" t="s">
        <v>33</v>
      </c>
      <c r="K31" s="27"/>
      <c r="L31" s="27"/>
    </row>
    <row r="32" spans="1:13" ht="45" x14ac:dyDescent="0.25">
      <c r="A32" s="44"/>
      <c r="B32" s="44"/>
      <c r="C32" s="44"/>
      <c r="D32" s="78"/>
      <c r="E32" s="47"/>
      <c r="F32" s="47"/>
      <c r="G32" s="84"/>
      <c r="H32" s="44"/>
      <c r="I32" s="16" t="s">
        <v>7</v>
      </c>
      <c r="J32" s="17" t="s">
        <v>34</v>
      </c>
      <c r="K32" s="26" t="s">
        <v>35</v>
      </c>
      <c r="L32" s="26" t="s">
        <v>137</v>
      </c>
    </row>
  </sheetData>
  <mergeCells count="84">
    <mergeCell ref="C27:C29"/>
    <mergeCell ref="E30:E32"/>
    <mergeCell ref="D30:D32"/>
    <mergeCell ref="C30:C32"/>
    <mergeCell ref="E27:E29"/>
    <mergeCell ref="D27:D29"/>
    <mergeCell ref="E1:J1"/>
    <mergeCell ref="G2:H2"/>
    <mergeCell ref="L1:L3"/>
    <mergeCell ref="K1:K3"/>
    <mergeCell ref="D1:D3"/>
    <mergeCell ref="F2:F3"/>
    <mergeCell ref="E2:E3"/>
    <mergeCell ref="J2:J3"/>
    <mergeCell ref="I2:I3"/>
    <mergeCell ref="D24:D26"/>
    <mergeCell ref="H30:H32"/>
    <mergeCell ref="G30:G32"/>
    <mergeCell ref="F30:F32"/>
    <mergeCell ref="F27:F29"/>
    <mergeCell ref="G27:G29"/>
    <mergeCell ref="H27:H29"/>
    <mergeCell ref="E24:E26"/>
    <mergeCell ref="H24:H26"/>
    <mergeCell ref="G24:G26"/>
    <mergeCell ref="F24:F26"/>
    <mergeCell ref="D6:D8"/>
    <mergeCell ref="E6:E8"/>
    <mergeCell ref="F6:F8"/>
    <mergeCell ref="G6:G8"/>
    <mergeCell ref="H6:H8"/>
    <mergeCell ref="E9:E11"/>
    <mergeCell ref="F9:F11"/>
    <mergeCell ref="G9:G11"/>
    <mergeCell ref="H9:H11"/>
    <mergeCell ref="D12:D14"/>
    <mergeCell ref="E12:E14"/>
    <mergeCell ref="F12:F14"/>
    <mergeCell ref="G12:G14"/>
    <mergeCell ref="H12:H14"/>
    <mergeCell ref="D9:D11"/>
    <mergeCell ref="D18:D20"/>
    <mergeCell ref="E18:E20"/>
    <mergeCell ref="F18:F20"/>
    <mergeCell ref="G18:G20"/>
    <mergeCell ref="H18:H20"/>
    <mergeCell ref="D15:D17"/>
    <mergeCell ref="E15:E17"/>
    <mergeCell ref="F15:F17"/>
    <mergeCell ref="G15:G17"/>
    <mergeCell ref="H15:H17"/>
    <mergeCell ref="B1:B3"/>
    <mergeCell ref="B6:B8"/>
    <mergeCell ref="B9:B11"/>
    <mergeCell ref="B12:B14"/>
    <mergeCell ref="B15:B17"/>
    <mergeCell ref="B18:B20"/>
    <mergeCell ref="B21:B23"/>
    <mergeCell ref="B24:B26"/>
    <mergeCell ref="B27:B29"/>
    <mergeCell ref="B30:B32"/>
    <mergeCell ref="A18:A20"/>
    <mergeCell ref="A21:A23"/>
    <mergeCell ref="A24:A26"/>
    <mergeCell ref="A27:A29"/>
    <mergeCell ref="A30:A32"/>
    <mergeCell ref="A1:A3"/>
    <mergeCell ref="A6:A8"/>
    <mergeCell ref="A9:A11"/>
    <mergeCell ref="A12:A14"/>
    <mergeCell ref="A15:A17"/>
    <mergeCell ref="H21:H23"/>
    <mergeCell ref="D21:D23"/>
    <mergeCell ref="E21:E23"/>
    <mergeCell ref="F21:F23"/>
    <mergeCell ref="G21:G23"/>
    <mergeCell ref="C18:C20"/>
    <mergeCell ref="C21:C23"/>
    <mergeCell ref="C24:C26"/>
    <mergeCell ref="C1:C3"/>
    <mergeCell ref="C6:C8"/>
    <mergeCell ref="C9:C11"/>
    <mergeCell ref="C12:C14"/>
    <mergeCell ref="C15:C17"/>
  </mergeCells>
  <phoneticPr fontId="1" type="noConversion"/>
  <pageMargins left="0.25" right="0.25" top="0.75" bottom="0.75" header="0.3" footer="0.3"/>
  <pageSetup paperSize="9" scale="27"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0A17E-22ED-413A-8FE8-996D295C601D}">
  <dimension ref="A1:J38"/>
  <sheetViews>
    <sheetView workbookViewId="0">
      <selection activeCell="I20" sqref="I20"/>
    </sheetView>
  </sheetViews>
  <sheetFormatPr defaultRowHeight="15" x14ac:dyDescent="0.25"/>
  <cols>
    <col min="1" max="1" width="19.28515625" bestFit="1" customWidth="1"/>
    <col min="2" max="2" width="2" customWidth="1"/>
    <col min="3" max="3" width="18" customWidth="1"/>
    <col min="4" max="4" width="2" customWidth="1"/>
    <col min="5" max="5" width="16.7109375" bestFit="1" customWidth="1"/>
    <col min="6" max="6" width="9.5703125" customWidth="1"/>
    <col min="7" max="7" width="2.42578125" customWidth="1"/>
    <col min="8" max="8" width="43.5703125" bestFit="1" customWidth="1"/>
    <col min="9" max="9" width="66.85546875" bestFit="1" customWidth="1"/>
    <col min="10" max="10" width="39.28515625" customWidth="1"/>
  </cols>
  <sheetData>
    <row r="1" spans="1:10" ht="31.5" x14ac:dyDescent="0.25">
      <c r="A1" t="s">
        <v>12</v>
      </c>
      <c r="C1" t="s">
        <v>22</v>
      </c>
      <c r="E1" t="s">
        <v>77</v>
      </c>
      <c r="F1" t="s">
        <v>81</v>
      </c>
      <c r="H1" s="6" t="s">
        <v>62</v>
      </c>
      <c r="I1" s="10" t="s">
        <v>119</v>
      </c>
      <c r="J1" s="8" t="s">
        <v>95</v>
      </c>
    </row>
    <row r="2" spans="1:10" x14ac:dyDescent="0.25">
      <c r="H2" s="7"/>
      <c r="I2" t="s">
        <v>114</v>
      </c>
      <c r="J2" t="s">
        <v>96</v>
      </c>
    </row>
    <row r="3" spans="1:10" ht="18" x14ac:dyDescent="0.25">
      <c r="A3" t="s">
        <v>9</v>
      </c>
      <c r="C3" t="s">
        <v>23</v>
      </c>
      <c r="E3" t="s">
        <v>78</v>
      </c>
      <c r="F3" t="s">
        <v>78</v>
      </c>
      <c r="H3" s="7" t="s">
        <v>63</v>
      </c>
      <c r="I3" s="8" t="s">
        <v>115</v>
      </c>
      <c r="J3" s="7" t="s">
        <v>97</v>
      </c>
    </row>
    <row r="4" spans="1:10" x14ac:dyDescent="0.25">
      <c r="A4" t="s">
        <v>16</v>
      </c>
      <c r="C4" t="s">
        <v>24</v>
      </c>
      <c r="E4" t="s">
        <v>79</v>
      </c>
      <c r="F4" t="s">
        <v>82</v>
      </c>
      <c r="H4" s="7" t="s">
        <v>64</v>
      </c>
      <c r="I4" t="s">
        <v>116</v>
      </c>
      <c r="J4" s="7" t="s">
        <v>98</v>
      </c>
    </row>
    <row r="5" spans="1:10" ht="18" x14ac:dyDescent="0.25">
      <c r="A5" t="s">
        <v>17</v>
      </c>
      <c r="E5" t="s">
        <v>80</v>
      </c>
      <c r="F5" t="s">
        <v>83</v>
      </c>
      <c r="H5" s="7" t="s">
        <v>65</v>
      </c>
      <c r="I5" s="8" t="s">
        <v>117</v>
      </c>
      <c r="J5" s="7" t="s">
        <v>99</v>
      </c>
    </row>
    <row r="6" spans="1:10" x14ac:dyDescent="0.25">
      <c r="A6" t="s">
        <v>10</v>
      </c>
      <c r="H6" s="7"/>
      <c r="I6" t="s">
        <v>118</v>
      </c>
      <c r="J6" s="7" t="s">
        <v>100</v>
      </c>
    </row>
    <row r="7" spans="1:10" ht="24" x14ac:dyDescent="0.25">
      <c r="A7" t="s">
        <v>11</v>
      </c>
      <c r="H7" s="6" t="s">
        <v>66</v>
      </c>
      <c r="J7" s="8" t="s">
        <v>101</v>
      </c>
    </row>
    <row r="8" spans="1:10" x14ac:dyDescent="0.25">
      <c r="A8" t="s">
        <v>13</v>
      </c>
      <c r="J8" t="s">
        <v>102</v>
      </c>
    </row>
    <row r="9" spans="1:10" x14ac:dyDescent="0.25">
      <c r="A9" t="s">
        <v>14</v>
      </c>
      <c r="H9" s="7" t="s">
        <v>67</v>
      </c>
      <c r="J9" s="7" t="s">
        <v>103</v>
      </c>
    </row>
    <row r="10" spans="1:10" x14ac:dyDescent="0.25">
      <c r="A10" t="s">
        <v>15</v>
      </c>
      <c r="H10" s="7" t="s">
        <v>68</v>
      </c>
      <c r="J10" s="7" t="s">
        <v>104</v>
      </c>
    </row>
    <row r="11" spans="1:10" x14ac:dyDescent="0.25">
      <c r="A11" t="s">
        <v>18</v>
      </c>
      <c r="H11" s="7" t="s">
        <v>69</v>
      </c>
      <c r="J11" s="7" t="s">
        <v>105</v>
      </c>
    </row>
    <row r="12" spans="1:10" x14ac:dyDescent="0.25">
      <c r="A12" t="s">
        <v>26</v>
      </c>
      <c r="H12" s="7"/>
      <c r="J12" s="7" t="s">
        <v>78</v>
      </c>
    </row>
    <row r="13" spans="1:10" ht="24" x14ac:dyDescent="0.25">
      <c r="H13" s="6" t="s">
        <v>70</v>
      </c>
      <c r="J13" s="8" t="s">
        <v>106</v>
      </c>
    </row>
    <row r="14" spans="1:10" x14ac:dyDescent="0.25">
      <c r="H14" s="7"/>
      <c r="J14" t="s">
        <v>107</v>
      </c>
    </row>
    <row r="15" spans="1:10" x14ac:dyDescent="0.25">
      <c r="H15" s="7" t="s">
        <v>71</v>
      </c>
      <c r="J15" s="7" t="s">
        <v>108</v>
      </c>
    </row>
    <row r="16" spans="1:10" x14ac:dyDescent="0.25">
      <c r="H16" s="7" t="s">
        <v>72</v>
      </c>
      <c r="J16" s="7" t="s">
        <v>109</v>
      </c>
    </row>
    <row r="17" spans="8:10" x14ac:dyDescent="0.25">
      <c r="H17" s="7" t="s">
        <v>73</v>
      </c>
      <c r="J17" s="7" t="s">
        <v>110</v>
      </c>
    </row>
    <row r="18" spans="8:10" ht="18" x14ac:dyDescent="0.25">
      <c r="H18" s="7" t="s">
        <v>74</v>
      </c>
      <c r="J18" s="8" t="s">
        <v>111</v>
      </c>
    </row>
    <row r="19" spans="8:10" x14ac:dyDescent="0.25">
      <c r="H19" s="7" t="s">
        <v>75</v>
      </c>
      <c r="J19" t="s">
        <v>112</v>
      </c>
    </row>
    <row r="20" spans="8:10" ht="30" x14ac:dyDescent="0.25">
      <c r="H20" s="7" t="s">
        <v>76</v>
      </c>
      <c r="J20" s="9" t="s">
        <v>113</v>
      </c>
    </row>
    <row r="22" spans="8:10" x14ac:dyDescent="0.25">
      <c r="H22" s="7"/>
      <c r="J22" s="7"/>
    </row>
    <row r="24" spans="8:10" x14ac:dyDescent="0.25">
      <c r="H24" s="7"/>
    </row>
    <row r="26" spans="8:10" x14ac:dyDescent="0.25">
      <c r="H26" s="7"/>
    </row>
    <row r="28" spans="8:10" x14ac:dyDescent="0.25">
      <c r="H28" s="7"/>
      <c r="J28" s="7"/>
    </row>
    <row r="30" spans="8:10" x14ac:dyDescent="0.25">
      <c r="J30" s="7"/>
    </row>
    <row r="32" spans="8:10" x14ac:dyDescent="0.25">
      <c r="J32" s="7"/>
    </row>
    <row r="38" spans="10:10" x14ac:dyDescent="0.25">
      <c r="J38" s="7"/>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3</vt:i4>
      </vt:variant>
    </vt:vector>
  </HeadingPairs>
  <TitlesOfParts>
    <vt:vector size="3" baseType="lpstr">
      <vt:lpstr>TEST CASE</vt:lpstr>
      <vt:lpstr>BUG REPORT</vt:lpstr>
      <vt:lpstr>POMOCNE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Ing. Fránová Silvie</dc:creator>
  <cp:lastModifiedBy>Ing. Fránová Silvie</cp:lastModifiedBy>
  <cp:lastPrinted>2026-03-05T08:38:54Z</cp:lastPrinted>
  <dcterms:created xsi:type="dcterms:W3CDTF">2026-03-02T09:40:36Z</dcterms:created>
  <dcterms:modified xsi:type="dcterms:W3CDTF">2026-03-16T11:10:36Z</dcterms:modified>
</cp:coreProperties>
</file>