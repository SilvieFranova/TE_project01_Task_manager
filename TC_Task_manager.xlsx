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lva_soubory\Skoleni\Testing_engeto\Ukoly\TE_project01_Task_manager\"/>
    </mc:Choice>
  </mc:AlternateContent>
  <xr:revisionPtr revIDLastSave="0" documentId="13_ncr:1_{E4791DF6-76EF-4465-9BE8-9635CED95EB8}" xr6:coauthVersionLast="47" xr6:coauthVersionMax="47" xr10:uidLastSave="{00000000-0000-0000-0000-000000000000}"/>
  <bookViews>
    <workbookView xWindow="-120" yWindow="-120" windowWidth="29040" windowHeight="17520" xr2:uid="{0A98D9A3-6A31-490E-B68F-50673F0B3263}"/>
  </bookViews>
  <sheets>
    <sheet name="TEST CASE" sheetId="1" r:id="rId1"/>
  </sheets>
  <definedNames>
    <definedName name="_xlnm._FilterDatabase" localSheetId="0" hidden="1">'TEST CASE'!$B$1:$M$25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0" i="1" l="1"/>
  <c r="E160" i="1" s="1"/>
  <c r="D156" i="1"/>
  <c r="E156" i="1" s="1"/>
  <c r="D154" i="1"/>
  <c r="E154" i="1" s="1"/>
  <c r="D152" i="1"/>
  <c r="E152" i="1" s="1"/>
  <c r="D150" i="1"/>
  <c r="E150" i="1" s="1"/>
  <c r="D149" i="1"/>
  <c r="E149" i="1" s="1"/>
  <c r="D141" i="1"/>
  <c r="E141" i="1" s="1"/>
  <c r="D143" i="1"/>
  <c r="E143" i="1" s="1"/>
  <c r="D145" i="1"/>
  <c r="E145" i="1" s="1"/>
  <c r="D147" i="1"/>
  <c r="E147" i="1" s="1"/>
  <c r="D139" i="1"/>
  <c r="E139" i="1" s="1"/>
  <c r="D134" i="1"/>
  <c r="E134" i="1" s="1"/>
  <c r="D129" i="1"/>
  <c r="E129" i="1" s="1"/>
  <c r="D114" i="1"/>
  <c r="E114" i="1" s="1"/>
  <c r="D117" i="1"/>
  <c r="E117" i="1" s="1"/>
  <c r="D120" i="1"/>
  <c r="E120" i="1" s="1"/>
  <c r="D123" i="1"/>
  <c r="E123" i="1" s="1"/>
  <c r="D126" i="1"/>
  <c r="E126" i="1" s="1"/>
  <c r="D102" i="1"/>
  <c r="E102" i="1" s="1"/>
  <c r="D105" i="1"/>
  <c r="E105" i="1" s="1"/>
  <c r="D108" i="1"/>
  <c r="E108" i="1" s="1"/>
  <c r="D111" i="1"/>
  <c r="E111" i="1" s="1"/>
  <c r="D99" i="1"/>
  <c r="E99" i="1" s="1"/>
  <c r="D97" i="1"/>
  <c r="E97" i="1" s="1"/>
  <c r="D93" i="1"/>
  <c r="E93" i="1" s="1"/>
  <c r="D85" i="1"/>
  <c r="E85" i="1" s="1"/>
  <c r="D87" i="1"/>
  <c r="E87" i="1" s="1"/>
  <c r="D89" i="1"/>
  <c r="E89" i="1" s="1"/>
  <c r="D91" i="1"/>
  <c r="E91" i="1" s="1"/>
  <c r="D83" i="1"/>
  <c r="E83" i="1" s="1"/>
  <c r="D38" i="1"/>
  <c r="E38" i="1" s="1"/>
  <c r="D79" i="1"/>
  <c r="E79" i="1" s="1"/>
  <c r="D75" i="1"/>
  <c r="E75" i="1" s="1"/>
  <c r="D71" i="1"/>
  <c r="E71" i="1" s="1"/>
  <c r="D65" i="1"/>
  <c r="E65" i="1" s="1"/>
  <c r="D60" i="1"/>
  <c r="E60" i="1" s="1"/>
  <c r="D50" i="1"/>
  <c r="E50" i="1" s="1"/>
  <c r="D56" i="1"/>
  <c r="E56" i="1" s="1"/>
  <c r="D44" i="1"/>
  <c r="E44" i="1" s="1"/>
  <c r="D28" i="1"/>
  <c r="E28" i="1" s="1"/>
  <c r="D34" i="1"/>
  <c r="E34" i="1" s="1"/>
  <c r="D26" i="1"/>
  <c r="E26" i="1" s="1"/>
  <c r="D15" i="1"/>
  <c r="E15" i="1" s="1"/>
  <c r="D4" i="1"/>
  <c r="E4" i="1" s="1"/>
  <c r="D5" i="1"/>
  <c r="E5" i="1" s="1"/>
  <c r="D7" i="1"/>
  <c r="E7" i="1" s="1"/>
  <c r="D9" i="1"/>
  <c r="E9" i="1" s="1"/>
  <c r="D11" i="1"/>
  <c r="E11" i="1" s="1"/>
  <c r="D13" i="1"/>
  <c r="E13" i="1" s="1"/>
  <c r="D17" i="1"/>
  <c r="E17" i="1" s="1"/>
  <c r="D19" i="1"/>
  <c r="E19" i="1" s="1"/>
  <c r="D20" i="1"/>
  <c r="E20" i="1" s="1"/>
  <c r="D22" i="1"/>
  <c r="E22" i="1" s="1"/>
  <c r="D24" i="1"/>
  <c r="E24" i="1" s="1"/>
</calcChain>
</file>

<file path=xl/sharedStrings.xml><?xml version="1.0" encoding="utf-8"?>
<sst xmlns="http://schemas.openxmlformats.org/spreadsheetml/2006/main" count="809" uniqueCount="333">
  <si>
    <t>TESTOVACÍ SCÉNÁŘ</t>
  </si>
  <si>
    <t>OČEKÁVANÝ VÝSTUP</t>
  </si>
  <si>
    <t>SKUTEČNÝ VÝSTUP</t>
  </si>
  <si>
    <t>Č.KROKU</t>
  </si>
  <si>
    <t>POSTUP</t>
  </si>
  <si>
    <t>KATEGORIE</t>
  </si>
  <si>
    <t>NÁZEV</t>
  </si>
  <si>
    <t>VÝSLEDEK</t>
  </si>
  <si>
    <t>OZNAČENÍ</t>
  </si>
  <si>
    <t>TC</t>
  </si>
  <si>
    <t>ČÍSLO</t>
  </si>
  <si>
    <t>FCE</t>
  </si>
  <si>
    <t>HL</t>
  </si>
  <si>
    <t>POPIS</t>
  </si>
  <si>
    <t>Spuštění aplikace</t>
  </si>
  <si>
    <t>Uživatel spustí aplikaci (dvojklik na .exe)</t>
  </si>
  <si>
    <t>VSTUP</t>
  </si>
  <si>
    <t>VSTUPNÍ PODMÍNKY</t>
  </si>
  <si>
    <t>Uživatel musí mít k dispozici spouštěcí soubor.</t>
  </si>
  <si>
    <t>--</t>
  </si>
  <si>
    <t>Uživatel dvojklikne na dodaný .exe soubor.</t>
  </si>
  <si>
    <t>hlavni_menu</t>
  </si>
  <si>
    <t>PASS</t>
  </si>
  <si>
    <t>Proběhlo spuštění aplikace.</t>
  </si>
  <si>
    <t>Napište do vstupního pole číslo 1.</t>
  </si>
  <si>
    <t>Stiskněte klávesu Enter</t>
  </si>
  <si>
    <t>Uživatel zvolí volbu 1 v hlavním menu.</t>
  </si>
  <si>
    <t>Uživatel zvolí volbu 2 v hlavním menu.</t>
  </si>
  <si>
    <t>Uživatel zvolí volbu 3 v hlavním menu.</t>
  </si>
  <si>
    <t>Uživatel zvolí volbu 4 v hlavním menu.</t>
  </si>
  <si>
    <t>Napište do vstupního pole číslo 2.</t>
  </si>
  <si>
    <t>Napište do vstupního pole číslo 4.</t>
  </si>
  <si>
    <t>Napište do vstupního pole číslo 3.</t>
  </si>
  <si>
    <t>Zobrazí se výzva "Zadejte název úkolu:" (spustí se funkce pridat_ukol()).</t>
  </si>
  <si>
    <t>Zobrazí se výzva "Konec programu" a aplikace se ukončí.</t>
  </si>
  <si>
    <t>Zobrazila se výzva "Konec programu" a aplikace se ukončila.</t>
  </si>
  <si>
    <t>Zobrazí se výzva "Seznam úkolů:", výpis všech zadaných úkolů a následně výpis hlavní volby (fce hlavni_menu()). (Spustí se funkce zobrazit_ukoly().)</t>
  </si>
  <si>
    <t>Zobrazila se výzva "Seznam úkolů:", výpis všech zadaných úkolů a následně výpis hlavní volby (fce hlavni_menu()). (Spustila se funkce zobrazit_ukoly().)</t>
  </si>
  <si>
    <t>Zobrazí se výzva "Seznam úkolů:",  výpis všech zadaných úkolů, výzva "Zadejte číslo úkolu, který chcete odstranit:", následně program vyzve uživatele k zadání (spustí se funkce odstranit_ukol()).</t>
  </si>
  <si>
    <t>Aplikace se spustí a zobrazí hlavní menu (body 1. - 4.)</t>
  </si>
  <si>
    <t>Aplikace se spustila a zobrazilo se hlavní menu (body 1. - 4.)</t>
  </si>
  <si>
    <t>Zadání volby 1</t>
  </si>
  <si>
    <t>Zadání volby 2</t>
  </si>
  <si>
    <t>Zadání volby 3</t>
  </si>
  <si>
    <t>Zadání volby 4</t>
  </si>
  <si>
    <t>Zadání neplatné číselné volby</t>
  </si>
  <si>
    <t>Napište do vstupního pole číslo 15.</t>
  </si>
  <si>
    <t>Zobrazí se výzva "Neplatný vstup, zadejte číslo 1. - 4.", program vyzve k opětovnému zadání.</t>
  </si>
  <si>
    <t>Zadání textového vstupu</t>
  </si>
  <si>
    <t>Uživatel zadá místo čísla text.</t>
  </si>
  <si>
    <t>Uživatel zadá číslo, které není uvedeno u žádné možnosti.</t>
  </si>
  <si>
    <t>abc</t>
  </si>
  <si>
    <t>Napište do vstupního pole text "abc".</t>
  </si>
  <si>
    <t>Zadání speciálních znaků</t>
  </si>
  <si>
    <t>Uživatel zadá místo čísla speciální znaky.</t>
  </si>
  <si>
    <t>*</t>
  </si>
  <si>
    <t>Prázdný vstup</t>
  </si>
  <si>
    <t>Uživatel místo čísla stiskne Enter</t>
  </si>
  <si>
    <t>Vstup s mezerami kolem čísla</t>
  </si>
  <si>
    <t>Uživatel zadá číslo s mezerami před i za.</t>
  </si>
  <si>
    <t>"  4  "</t>
  </si>
  <si>
    <t>Napište do vstupního pole text "  4  ".</t>
  </si>
  <si>
    <t>Zadání desetinného čísla</t>
  </si>
  <si>
    <t>Uživatel zadá číslo s desetinnými místy.</t>
  </si>
  <si>
    <t>Napište do vstupního pole číslo 3,14</t>
  </si>
  <si>
    <t>Zadání záporného čísla</t>
  </si>
  <si>
    <t>Uživatel zadá záporné číslo.</t>
  </si>
  <si>
    <t>Napište do vstupního pole číslo -10</t>
  </si>
  <si>
    <t>Zadání více znaků spolu s číslem</t>
  </si>
  <si>
    <t>Uživatel zadá text spolu s číslem.</t>
  </si>
  <si>
    <t>Napište do vstupního pole "1abc"</t>
  </si>
  <si>
    <t>1abc</t>
  </si>
  <si>
    <t>Opakované neplatné vstupy a následné zadání platné volby</t>
  </si>
  <si>
    <t>Uživatel zadá 2x chybný a následně správný vstup</t>
  </si>
  <si>
    <t>Napište do vstupního pole "abc"</t>
  </si>
  <si>
    <t>Napište do vstupního pole 15</t>
  </si>
  <si>
    <t>Napište do vstupního pole 4</t>
  </si>
  <si>
    <t>Napište do vstupního pole znak *.</t>
  </si>
  <si>
    <t>Zobrazila se výzva "Seznam úkolů:",  výpis všech zadaných úkolů, výzva "Zadejte číslo úkolu, který chcete odstranit:", následně program vyzval uživatele k zadání (spustila se funkce odstranit_ukol()).</t>
  </si>
  <si>
    <t>abc,15,4</t>
  </si>
  <si>
    <t>prázdný vstup</t>
  </si>
  <si>
    <t>Zobrazila se výzva "Zadejte název úkolu:" a program vyzval uživatele k zadání (spustila se funkce pridat_ukol()).</t>
  </si>
  <si>
    <t>Zobrazila se výzva "Neplatný vstup, zadejte číslo 1. - 4.", program vyzve uživatele k opětovnému zadání.</t>
  </si>
  <si>
    <t>PU</t>
  </si>
  <si>
    <t>Zadání názvu a popisu úkolu</t>
  </si>
  <si>
    <t>Proběhlo spuštění aplikace a vybrání volby 1 v hlavním menu</t>
  </si>
  <si>
    <t>Napište do vstupního pole "Úkol 1"</t>
  </si>
  <si>
    <t>Zobrazí se výzva "Zadejte popis úkolu:" (pokračuje funkce pridat_ukol()).</t>
  </si>
  <si>
    <t>Zobrazila se výzva "Zadejte popis úkolu:" a program vyzval uživatele k zadání (spustila se funkce pridat_ukol()).</t>
  </si>
  <si>
    <t>pridat_ukol</t>
  </si>
  <si>
    <t>Uživatel zadá správný název a popis úkolu</t>
  </si>
  <si>
    <t>Napište do vstupního pole "Popis úkolu 1"</t>
  </si>
  <si>
    <t>název: "Úkol 1"
popis: "Popis úkolu 1"</t>
  </si>
  <si>
    <t>Napište do vstupního pole "Úkol"</t>
  </si>
  <si>
    <t>Napište do vstupního pole "1"</t>
  </si>
  <si>
    <t>Napište do vstupního pole " Úkol 1 "</t>
  </si>
  <si>
    <t>název: "1"
opravený název: "Úkol 1"
popis: "Popis úkolu 1"</t>
  </si>
  <si>
    <t>Zobrazilo se oznámení 'Úkol "Úkol 1" byl přidán.', potom se zobrazilo hlavni_menu().</t>
  </si>
  <si>
    <t>Zobrazí se upozornění "Název úkolu musí obsahovat alespoň jedno písmeno." a poté opět výzva "Zadejte název úkolu:" (pokračuje funkce pridat_ukol()).</t>
  </si>
  <si>
    <t>Zobrazilo se upozornění "Název úkolu musí obsahovat alespoň jedno písmeno." a poté výzva "Zadejte název úkolu:" (pokračuje funkce pridat_ukol()).</t>
  </si>
  <si>
    <t>Zadání názvu úkolu, který obsahuje pouze písmena</t>
  </si>
  <si>
    <t>Uživatel zadá neplatný název úkolu bez čísla, jen text</t>
  </si>
  <si>
    <t>název: "Úkol"
opravený název: "Úkol 1"
popis: "Popis úkolu 1"</t>
  </si>
  <si>
    <t>Zobrazí se upozornění "Název úkolu musí obsahovat alespoň jedno číslo." a poté opět výzva "Zadejte název úkolu:" (pokračuje funkce pridat_ukol()).</t>
  </si>
  <si>
    <t>Zobrazilo se upozornění "Název úkolu musí obsahovat alespoň jedno číslo." a poté výzva "Zadejte název úkolu:" (pokračuje funkce pridat_ukol()).</t>
  </si>
  <si>
    <t>Zadání názvu úkolu, který obsahuje zbytečné mezery</t>
  </si>
  <si>
    <t>název: " Úkol 1 "
popis: "Popis úkolu 1"</t>
  </si>
  <si>
    <t>Zadání prázdného popisu úkolu</t>
  </si>
  <si>
    <t>název: ""
popis: "Popis úkolu 1"</t>
  </si>
  <si>
    <t>Napište do vstupního pole ""</t>
  </si>
  <si>
    <t>Zobrazí se upozornění "Název úkolu nesmí být prázdný." a poté opět výzva "Zadejte název úkolu:" (pokračuje funkce pridat_ukol()).</t>
  </si>
  <si>
    <t>Zobrazilo se upozornění "Název úkolu nesmí být prázdný." a poté výzva "Zadejte název úkolu:" (pokračuje funkce pridat_ukol()).</t>
  </si>
  <si>
    <t>Zadání duplicitního čísla úkolu</t>
  </si>
  <si>
    <t>Uživatel zadá takové číslo úkolu, které již bylo v aktuálním spuštění zadáno a následně zadá název s unikátním číslem.</t>
  </si>
  <si>
    <t>Zobrazí se výzva "Zadejte popis úkolu:" a program vyzve uživatele k zadání (spustí se funkce pridat_ukol()).</t>
  </si>
  <si>
    <t>Zobrazilo se oznámení 'Úkol "Úkol 2" byl přidán.', potom se zobrazilo hlavni_menu().</t>
  </si>
  <si>
    <t>Zadání prázdného názvu úkolu</t>
  </si>
  <si>
    <t>Napište do vstupního pole "Úkol 2"</t>
  </si>
  <si>
    <t>Napište do vstupního pole "Popis úkolu 2"</t>
  </si>
  <si>
    <t>Uživatel zadá platný název se zbytečnými mezerami kolem</t>
  </si>
  <si>
    <t>Proběhlo spuštění aplikace, vybrání volby 1 v hlavním menu v seznamu již existuje úkol s číslem 1.</t>
  </si>
  <si>
    <t>Uživatel zadá prázdný popis úkolu.</t>
  </si>
  <si>
    <t>Místo zápisu stiskněte znovu Enter</t>
  </si>
  <si>
    <t>Napište do vstupního pole "Nový úkol 1"</t>
  </si>
  <si>
    <t>Zadání názvu úkolu obsahujícího pouze číslo</t>
  </si>
  <si>
    <t>Uživatel zadá jako název úkolu samotné číslo.</t>
  </si>
  <si>
    <t>název: "Úkol 1"
popis: ""
opravený popis: "Popis úkolu 1"</t>
  </si>
  <si>
    <t>Zobrazí se upozornění "Popis úkolu nesmí být prázdný." a poté opět výzva "Zadejte popis úkolu:" (pokračuje funkce pridat_ukol()).</t>
  </si>
  <si>
    <t>Zobrazilo se upozornění "Popis úkolu nesmí být prázdný." a poté opět výzva "Zadejte popis úkolu:" (pokračuje funkce pridat_ukol()).</t>
  </si>
  <si>
    <t>Zobrazí se upozornění "Úkol s číslem 1 už existuje. Zadejte jiný název úkolu" a poté opět výzva "Zadejte název úkolu:"</t>
  </si>
  <si>
    <t>název: "Nový úkol 1"
opravený název: "Úkol 2"
popis: "Popis úkolu 2"</t>
  </si>
  <si>
    <t>Uživatel zadá prázdný název a následně zadá správný název i popis úkolu.</t>
  </si>
  <si>
    <t>Zadání speciálních znaků v názvu úkolu</t>
  </si>
  <si>
    <t>Uživatel zadá název úkolu obsahující speciální znaky spolu s písmenem a číslem.</t>
  </si>
  <si>
    <t>Proběhlo spuštění aplikace a vybrání volby 1 v hlavním menu.</t>
  </si>
  <si>
    <t>název: "Úkol@#1"
popis: "Popis úkolu"</t>
  </si>
  <si>
    <t>Zadání velmi dlouhého názvu úkolu</t>
  </si>
  <si>
    <t>Uživatel zadá název úkolu o délce 200 znaků.</t>
  </si>
  <si>
    <t>Napište do vstupního pole název o délce 200 znaků obsahující písmeno i číslo.</t>
  </si>
  <si>
    <t>Zobrazí se výzva "Zadejte popis úkolu:" (název splňuje podmínky).</t>
  </si>
  <si>
    <t>Zobrazila se výzva "Zadejte popis úkolu:".</t>
  </si>
  <si>
    <t>Napište do vstupního pole "Popis"</t>
  </si>
  <si>
    <t>Zobrazí se oznámení o přidání úkolu a potom hlavni_menu().</t>
  </si>
  <si>
    <t>Zobrazilo se oznámení o přidání úkolu a potom hlavni_menu().</t>
  </si>
  <si>
    <t>název: "Tento úkol 1 má velmi dlouhý název který obsahuje hodně znaků a slouží k otestování chování aplikace při zadání extrémně dlouhého řetězce jako názvu úkolu aby bylo"
popis: "Popis úkolu"</t>
  </si>
  <si>
    <t>Přidání více úkolů za sebou</t>
  </si>
  <si>
    <t>Uživatel přidá za sebou tři různé úkoly a ověří, že jsou všechny uloženy.</t>
  </si>
  <si>
    <t>"Úkol 1", "Úkol 2", "Úkol 3" s odpovídajícími popisy.</t>
  </si>
  <si>
    <t>Z hlavního menu zvolte volbu 1 a přidejte úkol s názvem "Úkol 1" a popisem "Popis 1".</t>
  </si>
  <si>
    <t>Zvolte znovu volbu 1 a přidejte úkol s názvem "Úkol 2" a popisem "Popis 2".</t>
  </si>
  <si>
    <t>Zvolte volbu 2 pro zobrazení všech úkolů.</t>
  </si>
  <si>
    <t>Zobrazí se seznam se třemi úkoly: Úkol 1, Úkol 2.</t>
  </si>
  <si>
    <t>Zobrazil se seznam s přidanými úkoly.</t>
  </si>
  <si>
    <t>Zobrazení prázdného seznamu úkolů</t>
  </si>
  <si>
    <t>Uživatel zobrazí seznam úkolů, když žádný úkol nebyl přidán.</t>
  </si>
  <si>
    <t>Proběhlo spuštění aplikace, seznam úkolů je prázdný.</t>
  </si>
  <si>
    <t>2</t>
  </si>
  <si>
    <t>zobrazit_ukoly</t>
  </si>
  <si>
    <t>Stiskněte klávesu Enter.</t>
  </si>
  <si>
    <t>Zobrazí se nadpis "Seznam úkolů:" bez dalších položek, poté se zobrazí hlavni_menu().</t>
  </si>
  <si>
    <t>Zobrazil se nadpis "Seznam úkolů:" bez dalších položek, poté se zobrazilo hlavni_menu().</t>
  </si>
  <si>
    <t>Zobrazení seznamu s jedním úkolem</t>
  </si>
  <si>
    <t>Uživatel zobrazí seznam, ve kterém je právě jeden úkol.</t>
  </si>
  <si>
    <t>Proběhlo spuštění aplikace a byl přidán jeden úkol: "Úkol 1" / "Popis úkolu 1".</t>
  </si>
  <si>
    <t>Zobrazí se "Seznam úkolů:" a záznam "1. Úkol 1 - Popis úkolu 1", poté hlavni_menu().</t>
  </si>
  <si>
    <t>Zobrazil se "Seznam úkolů:" a záznam "1. Úkol 1 - Popis úkolu 1", poté hlavni_menu().</t>
  </si>
  <si>
    <t>Zobrazení seznamu s více úkoly</t>
  </si>
  <si>
    <t>Uživatel zobrazí seznam, ve kterém jsou tři úkoly.</t>
  </si>
  <si>
    <t>Zobrazí se "Seznam úkolů:" s položkami:
1. Úkol 1 - Popis 1
2. Úkol 2 - Popis 2
3. Úkol 3 - Popis 3
Poté hlavni_menu().</t>
  </si>
  <si>
    <t>Zobrazení seznamu po odebrání úkolu</t>
  </si>
  <si>
    <t>Uživatel zobrazí seznam poté, co byl jeden úkol odstraněn.</t>
  </si>
  <si>
    <t>Proběhlo spuštění aplikace, přidány úkoly Úkol 1 a Úkol 2, poté odstraněn Úkol 1.</t>
  </si>
  <si>
    <t>Zobrazí se "Seznam úkolů:" pouze s položkou:
1. Úkol 2 - Popis 2
Poté hlavni_menu().</t>
  </si>
  <si>
    <t>Opakované zobrazení seznamu</t>
  </si>
  <si>
    <t>Uživatel zobrazí seznam dvakrát za sebou a ověří, že výstup je pokaždé stejný.</t>
  </si>
  <si>
    <t>Proběhlo spuštění aplikace a byl přidán jeden úkol: "Úkol 1".</t>
  </si>
  <si>
    <t>2 (dvakrát)</t>
  </si>
  <si>
    <t>Napište do vstupního pole číslo 2 a stiskněte Enter.</t>
  </si>
  <si>
    <t>Zobrazí se "Seznam úkolů:" s položkou "1. Úkol 1 - Popis 1", poté hlavni_menu().</t>
  </si>
  <si>
    <t>Znovu napište číslo 2 a stiskněte Enter.</t>
  </si>
  <si>
    <t>ZU</t>
  </si>
  <si>
    <t>Zobrazil se "Seznam úkolů:" a položky "1. Úkol 1 - Popis 1", "2. Úkol 2 - Popis 2", "3. Úkol 3 - Popis 3", poté hlavní menu.</t>
  </si>
  <si>
    <t>Proběhlo spuštění aplikace a byly přidány tři úkoly: Úkol 1, Úkol 2, Úkol 3 a jejich popisy.</t>
  </si>
  <si>
    <t>Odstranění existujícího úkolu</t>
  </si>
  <si>
    <t>Uživatel odstraní úkol, který existuje v seznamu.</t>
  </si>
  <si>
    <t>Proběhlo spuštění aplikace a byl přidán úkol "Úkol 1".</t>
  </si>
  <si>
    <t>3, poté číslo úkolu 1</t>
  </si>
  <si>
    <t>Zobrazí se seznam úkolů a výzva "Zadejte číslo úkolu, který chcete odstranit:".</t>
  </si>
  <si>
    <t>Zobrazil se seznam úkolů a výzva k zadání čísla.</t>
  </si>
  <si>
    <t>Napište číslo 1.</t>
  </si>
  <si>
    <t>Pokus o odstranění úkolu z prázdného seznamu</t>
  </si>
  <si>
    <t>Uživatel zvolí volbu 3, když nejsou uloženy žádné úkoly.</t>
  </si>
  <si>
    <t>3</t>
  </si>
  <si>
    <t>Zobrazí se upozornění "Nejsou uloženy žádné úkoly." a poté hlavni_menu().</t>
  </si>
  <si>
    <t>Zobrazilo se upozornění "Nejsou uloženy žádné úkoly." a poté hlavni_menu().</t>
  </si>
  <si>
    <t>Zadání neexistujícího čísla úkolu</t>
  </si>
  <si>
    <t>Uživatel zadá číslo úkolu, které v seznamu neexistuje.</t>
  </si>
  <si>
    <t>3, poté číslo 99</t>
  </si>
  <si>
    <t>Napište do vstupního pole číslo 3 a stiskněte Enter.</t>
  </si>
  <si>
    <t>Zobrazí se seznam úkolů a výzva k zadání čísla.</t>
  </si>
  <si>
    <t>Napište číslo 99 a stiskněte Enter.</t>
  </si>
  <si>
    <t>Zobrazí se upozornění "Úkol s tímto číslem nebyl nalezen. Zkuste to znovu." a výzva k opětovnému zadání.</t>
  </si>
  <si>
    <t>Zobrazilo se upozornění "Úkol s tímto číslem nebyl nalezen. Zkuste to znovu." a výzva k opětovnému zadání.</t>
  </si>
  <si>
    <t>Napište číslo 1 a stiskněte Enter.</t>
  </si>
  <si>
    <t>Zobrazilo se oznámení o odstranění a poté hlavni_menu().</t>
  </si>
  <si>
    <t>Zadání textového vstupu při odstraňování</t>
  </si>
  <si>
    <t>Uživatel zadá místo čísla text při volbě odstraňovaného úkolu.</t>
  </si>
  <si>
    <t>3, poté "abc", poté 1</t>
  </si>
  <si>
    <t>Napište "abc" a stiskněte Enter.</t>
  </si>
  <si>
    <t>Zobrazí se upozornění "Neplatný vstup, zadejte číslo." a výzva k opětovnému zadání.</t>
  </si>
  <si>
    <t>Zobrazilo se upozornění "Neplatný vstup, zadejte číslo." a výzva k opětovnému zadání.</t>
  </si>
  <si>
    <t>Zadání prázdného vstupu při odstraňování</t>
  </si>
  <si>
    <t>Uživatel stiskne Enter bez zadání čísla při volbě odstraňovaného úkolu.</t>
  </si>
  <si>
    <t>3, poté prázdný vstup, poté 1</t>
  </si>
  <si>
    <t>Stiskněte klávesu Enter bez zadání čísla.</t>
  </si>
  <si>
    <t>Odstranění jednoho z více úkolů</t>
  </si>
  <si>
    <t>Uživatel odstraní druhý ze tří existujících úkolů a ověří stav seznamu.</t>
  </si>
  <si>
    <t>Proběhlo spuštění aplikace a byly přidány úkoly Úkol 1, Úkol 2, Úkol 3.</t>
  </si>
  <si>
    <t>3, poté číslo 2</t>
  </si>
  <si>
    <t>Zobrazí se seznam tří úkolů a výzva k zadání čísla.</t>
  </si>
  <si>
    <t>Napište číslo 2 a stiskněte Enter.</t>
  </si>
  <si>
    <t>Zvolte volbu 2 pro zobrazení seznamu.</t>
  </si>
  <si>
    <t>Zobrazí se seznam se dvěma zbývajícími úkoly: Úkol 1 a Úkol 3.</t>
  </si>
  <si>
    <t>Zadání záporného čísla při odstraňování</t>
  </si>
  <si>
    <t>Uživatel zadá záporné číslo při výběru úkolu k odstranění.</t>
  </si>
  <si>
    <t>3, poté -1, poté 1</t>
  </si>
  <si>
    <t>Napište -1 a stiskněte Enter.</t>
  </si>
  <si>
    <t>OU</t>
  </si>
  <si>
    <t>Zadání speciálních znaků při odstraňování</t>
  </si>
  <si>
    <t>Uživatel zadá speciální znaky místo čísla úkolu.</t>
  </si>
  <si>
    <t>3, poté "@#", poté 1</t>
  </si>
  <si>
    <t>Napište "@#" a stiskněte Enter.</t>
  </si>
  <si>
    <t>Zadání desetinného čísla při odstraňování</t>
  </si>
  <si>
    <t>Uživatel zadá desetinné číslo místo celého čísla úkolu.</t>
  </si>
  <si>
    <t>3, poté "1.5", poté 1</t>
  </si>
  <si>
    <t>Napište "1.5" a stiskněte Enter.</t>
  </si>
  <si>
    <t>Zadání vstupu s mezerami při odstraňování</t>
  </si>
  <si>
    <t>Uživatel zadá číslo s mezerami před a za.</t>
  </si>
  <si>
    <t>3, poté "  1  ", poté 1</t>
  </si>
  <si>
    <t>Napište "  1  " (číslo s mezerami kolem) a stiskněte Enter.</t>
  </si>
  <si>
    <t>Zadání velmi velkého čísla při odstraňování</t>
  </si>
  <si>
    <t>Uživatel zadá extrémně velké číslo, které v seznamu neexistuje.</t>
  </si>
  <si>
    <t>3, poté 999999999, poté 1</t>
  </si>
  <si>
    <t>Napište 999999999 a stiskněte Enter.</t>
  </si>
  <si>
    <t>Zadání čísla spolu s textem při odstraňování</t>
  </si>
  <si>
    <t>Uživatel zadá kombinaci čísla a textu místo samotného čísla.</t>
  </si>
  <si>
    <t>3, poté "1abc", poté 1</t>
  </si>
  <si>
    <t>Napište "1abc" a stiskněte Enter.</t>
  </si>
  <si>
    <t>Opakované neplatné vstupy a následné správné zadání</t>
  </si>
  <si>
    <t>Uživatel zadá za sebou tři různé neplatné vstupy a poté platné číslo.</t>
  </si>
  <si>
    <t>3, poté "abc", "-5", "@", poté 1</t>
  </si>
  <si>
    <t>Napište "-5" a stiskněte Enter.</t>
  </si>
  <si>
    <t>Napište "@" a stiskněte Enter.</t>
  </si>
  <si>
    <t>Opakované odstranění – odstranění všech úkolů</t>
  </si>
  <si>
    <t>Uživatel odstraní všechny existující úkoly jeden po druhém.</t>
  </si>
  <si>
    <t>Proběhlo spuštění aplikace a byly přidány úkoly Úkol 1 a Úkol 2.</t>
  </si>
  <si>
    <t>3 (dvakrát)</t>
  </si>
  <si>
    <t>Zobrazí se seznam dvou úkolů a výzva k zadání čísla.</t>
  </si>
  <si>
    <t>Zobrazil se seznam dvou úkolů a výzva.</t>
  </si>
  <si>
    <t>Napište znovu číslo 3 a stiskněte Enter.</t>
  </si>
  <si>
    <t>Zobrazí se seznam s jedním zbývajícím úkolem a výzva k zadání čísla.</t>
  </si>
  <si>
    <t>Zobrazí se oznámení 'Úkol "Úkol 1" byl přidán, potom se zobrazí hlavni_menu().</t>
  </si>
  <si>
    <t>Zobrazilo se oznámení 'Úkol "Úkol 1" byl přidán, potom se zobrazilo hlavni_menu().</t>
  </si>
  <si>
    <t>Zobrazí se oznámení 'Úkol "Úkol 2" byl přidán, potom se zobrazí hlavni_menu().</t>
  </si>
  <si>
    <t>Zobrazí se oznámení 'Úkol "Úkol 1" byl odstraněn.' a poté hlavni_menu().</t>
  </si>
  <si>
    <t>Zobrazilo se oznámení 'Úkol "Úkol 1" byl odstraněn.' a poté hlavni_menu().</t>
  </si>
  <si>
    <t>Zobrazí se oznámení 'Úkol "Úkol 2" byl odstraněn.' a poté hlavni_menu().</t>
  </si>
  <si>
    <t>Zobrazilo se oznámení 'Úkol "Úkol 2" byl odstraněn.' a poté hlavni_menu().</t>
  </si>
  <si>
    <t>Ukončení aplikace platnou volbou 4</t>
  </si>
  <si>
    <t>Uživatel zadá volbu 4 a aplikace se korektně ukončí.</t>
  </si>
  <si>
    <t>4</t>
  </si>
  <si>
    <t>Zobrazí se výzva "Konec programu." a aplikace se ukončí (sys.exit()).</t>
  </si>
  <si>
    <t>Zobrazila se výzva "Konec programu." a aplikace se ukončila.</t>
  </si>
  <si>
    <t>Pokus o ukončení zadáním čísla 0</t>
  </si>
  <si>
    <t>Uživatel zadá číslo 0, které není platnou volbou.</t>
  </si>
  <si>
    <t>0</t>
  </si>
  <si>
    <t>Napište do vstupního pole číslo 0.</t>
  </si>
  <si>
    <t>Pokus o ukončení záporným číslem</t>
  </si>
  <si>
    <t>Uživatel zadá záporné číslo místo platné volby.</t>
  </si>
  <si>
    <t>-4</t>
  </si>
  <si>
    <t>Napište do vstupního pole číslo -4.</t>
  </si>
  <si>
    <t>Pokus o ukončení textovým vstupem</t>
  </si>
  <si>
    <t>Uživatel zadá text místo čísla při výběru volby ukončení.</t>
  </si>
  <si>
    <t>konec</t>
  </si>
  <si>
    <t>Napište do vstupního pole text "konec".</t>
  </si>
  <si>
    <t>Pokus o ukončení speciálním znakem</t>
  </si>
  <si>
    <t>Uživatel zadá speciální znak místo čísla.</t>
  </si>
  <si>
    <t>!</t>
  </si>
  <si>
    <t>Napište do vstupního pole znak "!".</t>
  </si>
  <si>
    <t>Pokus o ukončení prázdným vstupem</t>
  </si>
  <si>
    <t>Uživatel stiskne Enter bez zadání čísla.</t>
  </si>
  <si>
    <t>Pokus o ukončení číslem s mezerami</t>
  </si>
  <si>
    <t>Uživatel zadá číslo 4 s mezerami kolem.</t>
  </si>
  <si>
    <t>Napište do vstupního pole "  4  " (číslo s mezerami).</t>
  </si>
  <si>
    <t>Pokus o ukončení desetinným číslem</t>
  </si>
  <si>
    <t>Uživatel zadá desetinné číslo 4.0 místo celého čísla.</t>
  </si>
  <si>
    <t>4.0</t>
  </si>
  <si>
    <t>Napište do vstupního pole "4.0".</t>
  </si>
  <si>
    <t>Pokus o ukončení velmi velkým číslem</t>
  </si>
  <si>
    <t>Uživatel zadá extrémně velké číslo.</t>
  </si>
  <si>
    <t>999999</t>
  </si>
  <si>
    <t>Napište do vstupního pole číslo 999999.</t>
  </si>
  <si>
    <t>Ukončení po opakovaných neplatných vstupech</t>
  </si>
  <si>
    <t>Uživatel nejprve zadá několik neplatných vstupů a poté platnou volbu 4.</t>
  </si>
  <si>
    <t>Napište do vstupního pole "abc" a stiskněte Enter.</t>
  </si>
  <si>
    <t>Napište 0 a stiskněte Enter.</t>
  </si>
  <si>
    <t>Napište "!" a stiskněte Enter.</t>
  </si>
  <si>
    <t>Napište 4 a stiskněte Enter.</t>
  </si>
  <si>
    <t>Zobrazí se výzva "Konec programu." a aplikace se ukončí.</t>
  </si>
  <si>
    <t>Ukončení s neuloženými úkoly</t>
  </si>
  <si>
    <t>Uživatel ukončí aplikaci poté, co přidal úkoly, bez jejich uložení do souboru.</t>
  </si>
  <si>
    <t>Zobrazí se výzva "Konec programu." a aplikace se ukončí bez dotazu na uložení.</t>
  </si>
  <si>
    <t>Zobrazila se výzva "Konec programu." a aplikace se ukončila bez dotazu na uložení.</t>
  </si>
  <si>
    <t>KP</t>
  </si>
  <si>
    <t>Zobrazil se seznam s Úkolem 2 a výzva k zadání čísla.</t>
  </si>
  <si>
    <t>Zobrazil se oznámení 'Úkol "Úkol 1" byl odstraněn.' a poté hlavni_menu().</t>
  </si>
  <si>
    <t>Zobrazil se seznam se dvěma zbývajícími úkoly: Úkol 1 a Úkol 3.</t>
  </si>
  <si>
    <t>Zobrazil se seznam tří úkolů a výzva k zadání čísla.</t>
  </si>
  <si>
    <t>Zobrazil se seznam úkolů a výzva "Zadejte číslo úkolu, který chcete odstranit:".</t>
  </si>
  <si>
    <t>Zobrazil se "Seznam úkolů:" s položkou "1. Úkol 1 - Popis 1", poté hlavni_menu().</t>
  </si>
  <si>
    <t>Zobrazil se "Seznam úkolů:" pouze s položkou:
1. Úkol 2 - Popis 2
Poté hlavni_menu().</t>
  </si>
  <si>
    <t>vstup: abc
poté: 0
poté: !
poté: 4</t>
  </si>
  <si>
    <t>odstranit_ukol</t>
  </si>
  <si>
    <t>Zvolte znovu volbu 1 a přidejte úkol s názvem "Úkol 3" a popisem "Popis 3".</t>
  </si>
  <si>
    <t>Zobrazilo se oznámení 'Úkol "Úkol 3" byl přidán' a hlavni_menu().</t>
  </si>
  <si>
    <t>Zobrazí se oznámení 'Úkol "Úkol 3" byl přidán' a hlavni_menu().</t>
  </si>
  <si>
    <t>Zobrazí se oznámení 'Úkol "Úkol 2" byl přidán' a hlavni_menu().</t>
  </si>
  <si>
    <t>Zobrazilo se oznámení 'Úkol "Úkol 2" byl přidán' a hlavni_menu().</t>
  </si>
  <si>
    <t>Zobrazí se oznámení 'Úkol "Úkol 1" byl přidán' a hlavni_menu().</t>
  </si>
  <si>
    <t>Zobrazilo se oznámení 'Úkol "Úkol 1" byl přidán' a hlavni_menu().</t>
  </si>
  <si>
    <t>Zobrazí se výzva "Zadejte popis úkolu:" a program vyzve uživatele k zadání (pokračuje funkce pridat_ukol()).</t>
  </si>
  <si>
    <t>Zobrazila se výzva "Zadejte popis úkolu:" a program vyzval uživatele k zadání (pokračuje funkce pridat_ukol()).</t>
  </si>
  <si>
    <t>konec programu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</si>
</sst>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00"/>
  </numFmts>
  <fonts count="6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D3"/>
        <bgColor indexed="64"/>
      </patternFill>
    </fill>
    <fill>
      <patternFill patternType="solid">
        <fgColor rgb="FFFAF3FF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7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 applyAlignment="1">
      <alignment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vertical="center"/>
    </xf>
    <xf numFmtId="0" fontId="3" fillId="2" borderId="10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horizontal="center" vertical="center"/>
    </xf>
    <xf numFmtId="49" fontId="3" fillId="3" borderId="17" xfId="0" applyNumberFormat="1" applyFont="1" applyFill="1" applyBorder="1" applyAlignment="1">
      <alignment horizontal="center" vertical="center"/>
    </xf>
    <xf numFmtId="49" fontId="3" fillId="3" borderId="18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164" fontId="2" fillId="3" borderId="18" xfId="0" applyNumberFormat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 wrapText="1"/>
    </xf>
    <xf numFmtId="0" fontId="3" fillId="3" borderId="18" xfId="0" quotePrefix="1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vertical="center" wrapText="1"/>
    </xf>
    <xf numFmtId="0" fontId="3" fillId="3" borderId="1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 wrapText="1"/>
    </xf>
    <xf numFmtId="49" fontId="3" fillId="3" borderId="14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vertical="center"/>
    </xf>
    <xf numFmtId="0" fontId="3" fillId="3" borderId="15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4" fillId="5" borderId="6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left" vertical="center" wrapText="1"/>
    </xf>
    <xf numFmtId="0" fontId="4" fillId="6" borderId="14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vertical="center" wrapText="1"/>
    </xf>
    <xf numFmtId="0" fontId="5" fillId="6" borderId="15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4" fillId="5" borderId="13" xfId="0" applyFont="1" applyFill="1" applyBorder="1" applyAlignment="1">
      <alignment horizontal="left" vertical="center" wrapText="1"/>
    </xf>
    <xf numFmtId="0" fontId="3" fillId="5" borderId="13" xfId="0" applyFont="1" applyFill="1" applyBorder="1"/>
    <xf numFmtId="0" fontId="4" fillId="5" borderId="8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 vertical="center" wrapText="1"/>
    </xf>
    <xf numFmtId="0" fontId="3" fillId="4" borderId="25" xfId="0" applyFont="1" applyFill="1" applyBorder="1"/>
    <xf numFmtId="0" fontId="4" fillId="4" borderId="2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/>
    </xf>
    <xf numFmtId="0" fontId="3" fillId="4" borderId="11" xfId="0" applyFont="1" applyFill="1" applyBorder="1"/>
    <xf numFmtId="0" fontId="3" fillId="4" borderId="28" xfId="0" applyFont="1" applyFill="1" applyBorder="1"/>
    <xf numFmtId="0" fontId="3" fillId="4" borderId="22" xfId="0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 vertical="center" wrapText="1"/>
    </xf>
    <xf numFmtId="2" fontId="2" fillId="4" borderId="22" xfId="0" applyNumberFormat="1" applyFont="1" applyFill="1" applyBorder="1" applyAlignment="1">
      <alignment horizontal="center"/>
    </xf>
    <xf numFmtId="0" fontId="3" fillId="4" borderId="22" xfId="0" applyFont="1" applyFill="1" applyBorder="1"/>
    <xf numFmtId="0" fontId="4" fillId="4" borderId="13" xfId="0" applyFont="1" applyFill="1" applyBorder="1" applyAlignment="1">
      <alignment horizontal="center" vertical="center" wrapText="1"/>
    </xf>
    <xf numFmtId="0" fontId="3" fillId="4" borderId="26" xfId="0" applyFont="1" applyFill="1" applyBorder="1"/>
    <xf numFmtId="0" fontId="4" fillId="4" borderId="8" xfId="0" applyFont="1" applyFill="1" applyBorder="1" applyAlignment="1">
      <alignment horizontal="center" vertical="center" wrapText="1"/>
    </xf>
    <xf numFmtId="0" fontId="3" fillId="4" borderId="27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2" fillId="4" borderId="11" xfId="0" applyFont="1" applyFill="1" applyBorder="1"/>
    <xf numFmtId="0" fontId="2" fillId="4" borderId="22" xfId="0" applyFont="1" applyFill="1" applyBorder="1" applyAlignment="1">
      <alignment horizontal="center"/>
    </xf>
    <xf numFmtId="0" fontId="3" fillId="4" borderId="23" xfId="0" applyFont="1" applyFill="1" applyBorder="1"/>
    <xf numFmtId="0" fontId="3" fillId="4" borderId="24" xfId="0" applyFont="1" applyFill="1" applyBorder="1" applyAlignment="1">
      <alignment horizontal="center" vertical="center"/>
    </xf>
    <xf numFmtId="0" fontId="3" fillId="4" borderId="22" xfId="0" applyFont="1" applyFill="1" applyBorder="1" applyAlignment="1">
      <alignment horizontal="center" vertical="center"/>
    </xf>
    <xf numFmtId="0" fontId="2" fillId="4" borderId="22" xfId="0" applyFont="1" applyFill="1" applyBorder="1"/>
    <xf numFmtId="0" fontId="3" fillId="3" borderId="2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3" fillId="2" borderId="9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49" fontId="3" fillId="3" borderId="8" xfId="0" applyNumberFormat="1" applyFont="1" applyFill="1" applyBorder="1" applyAlignment="1">
      <alignment horizontal="center" vertical="center"/>
    </xf>
    <xf numFmtId="49" fontId="3" fillId="3" borderId="5" xfId="0" applyNumberFormat="1" applyFont="1" applyFill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64" fontId="2" fillId="2" borderId="10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 wrapText="1"/>
    </xf>
    <xf numFmtId="49" fontId="3" fillId="3" borderId="20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2" fillId="2" borderId="6" xfId="0" quotePrefix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quotePrefix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3" fillId="2" borderId="6" xfId="0" quotePrefix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18" xfId="0" quotePrefix="1" applyFont="1" applyFill="1" applyBorder="1" applyAlignment="1">
      <alignment horizontal="center" vertical="center" wrapText="1"/>
    </xf>
    <xf numFmtId="0" fontId="2" fillId="2" borderId="11" xfId="0" quotePrefix="1" applyFont="1" applyFill="1" applyBorder="1" applyAlignment="1">
      <alignment horizontal="center" vertical="center" wrapText="1"/>
    </xf>
    <xf numFmtId="0" fontId="2" fillId="2" borderId="22" xfId="0" quotePrefix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13" xfId="0" applyFont="1" applyFill="1" applyBorder="1" applyAlignment="1">
      <alignment horizontal="center" vertical="center" wrapText="1"/>
    </xf>
    <xf numFmtId="0" fontId="4" fillId="5" borderId="20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/>
    </xf>
    <xf numFmtId="0" fontId="3" fillId="6" borderId="22" xfId="0" applyFont="1" applyFill="1" applyBorder="1"/>
    <xf numFmtId="0" fontId="4" fillId="6" borderId="3" xfId="0" applyFont="1" applyFill="1" applyBorder="1" applyAlignment="1">
      <alignment horizontal="center" vertical="center" wrapText="1"/>
    </xf>
    <xf numFmtId="0" fontId="3" fillId="6" borderId="25" xfId="0" applyFont="1" applyFill="1" applyBorder="1"/>
    <xf numFmtId="0" fontId="3" fillId="5" borderId="10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3" fillId="6" borderId="6" xfId="0" applyFont="1" applyFill="1" applyBorder="1"/>
    <xf numFmtId="0" fontId="3" fillId="6" borderId="7" xfId="0" applyFont="1" applyFill="1" applyBorder="1"/>
    <xf numFmtId="0" fontId="3" fillId="6" borderId="6" xfId="0" applyFont="1" applyFill="1" applyBorder="1" applyAlignment="1">
      <alignment horizontal="center"/>
    </xf>
    <xf numFmtId="0" fontId="4" fillId="6" borderId="17" xfId="0" applyFont="1" applyFill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0" fontId="4" fillId="6" borderId="23" xfId="0" applyFont="1" applyFill="1" applyBorder="1" applyAlignment="1">
      <alignment horizontal="center" vertical="center" wrapText="1"/>
    </xf>
    <xf numFmtId="0" fontId="4" fillId="6" borderId="18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 wrapText="1"/>
    </xf>
    <xf numFmtId="0" fontId="5" fillId="6" borderId="18" xfId="0" applyFont="1" applyFill="1" applyBorder="1" applyAlignment="1">
      <alignment horizontal="center" vertical="center" wrapText="1"/>
    </xf>
    <xf numFmtId="0" fontId="5" fillId="6" borderId="2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6" borderId="4" xfId="0" applyFont="1" applyFill="1" applyBorder="1"/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8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4" fillId="6" borderId="1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AF3FF"/>
      <color rgb="FFFFFF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29B4D-5AA8-41EA-A1D7-BA21E0F605F8}">
  <sheetPr>
    <pageSetUpPr fitToPage="1"/>
  </sheetPr>
  <dimension ref="A1:O161"/>
  <sheetViews>
    <sheetView tabSelected="1" zoomScaleNormal="100" workbookViewId="0">
      <pane xSplit="2" ySplit="3" topLeftCell="C129" activePane="bottomRight" state="frozen"/>
      <selection activeCell="I20" sqref="I20"/>
      <selection pane="topRight" activeCell="I20" sqref="I20"/>
      <selection pane="bottomLeft" activeCell="I20" sqref="I20"/>
      <selection pane="bottomRight" activeCell="N162" sqref="N162"/>
    </sheetView>
  </sheetViews>
  <sheetFormatPr defaultRowHeight="15" x14ac:dyDescent="0.25"/>
  <cols>
    <col min="1" max="1" width="3" style="1" bestFit="1" customWidth="1"/>
    <col min="2" max="2" width="3.42578125" style="7" bestFit="1" customWidth="1"/>
    <col min="3" max="3" width="4.5703125" style="7" bestFit="1" customWidth="1"/>
    <col min="4" max="4" width="6.5703125" style="4" bestFit="1" customWidth="1"/>
    <col min="5" max="5" width="10.5703125" style="5" bestFit="1" customWidth="1"/>
    <col min="6" max="6" width="28.28515625" style="8" customWidth="1"/>
    <col min="7" max="7" width="28" style="8" customWidth="1"/>
    <col min="8" max="8" width="28.28515625" style="8" customWidth="1"/>
    <col min="9" max="9" width="28.85546875" style="7" customWidth="1"/>
    <col min="10" max="10" width="9.28515625" style="1" bestFit="1" customWidth="1"/>
    <col min="11" max="11" width="39.140625" style="2" bestFit="1" customWidth="1"/>
    <col min="12" max="12" width="43.42578125" style="3" bestFit="1" customWidth="1"/>
    <col min="13" max="13" width="46" style="3" customWidth="1"/>
    <col min="14" max="14" width="14.28515625" style="7" customWidth="1"/>
    <col min="15" max="15" width="10.28515625" style="1" bestFit="1" customWidth="1"/>
    <col min="16" max="16384" width="9.140625" style="6"/>
  </cols>
  <sheetData>
    <row r="1" spans="1:15" x14ac:dyDescent="0.25">
      <c r="A1" s="192"/>
      <c r="B1" s="159" t="s">
        <v>9</v>
      </c>
      <c r="C1" s="159" t="s">
        <v>11</v>
      </c>
      <c r="D1" s="159" t="s">
        <v>10</v>
      </c>
      <c r="E1" s="159" t="s">
        <v>8</v>
      </c>
      <c r="F1" s="163" t="s">
        <v>0</v>
      </c>
      <c r="G1" s="163"/>
      <c r="H1" s="163"/>
      <c r="I1" s="163"/>
      <c r="J1" s="163"/>
      <c r="K1" s="163"/>
      <c r="L1" s="161" t="s">
        <v>1</v>
      </c>
      <c r="M1" s="161" t="s">
        <v>2</v>
      </c>
      <c r="N1" s="161" t="s">
        <v>5</v>
      </c>
      <c r="O1" s="161" t="s">
        <v>7</v>
      </c>
    </row>
    <row r="2" spans="1:15" x14ac:dyDescent="0.25">
      <c r="A2" s="193"/>
      <c r="B2" s="159"/>
      <c r="C2" s="159"/>
      <c r="D2" s="159"/>
      <c r="E2" s="159"/>
      <c r="F2" s="161" t="s">
        <v>6</v>
      </c>
      <c r="G2" s="161" t="s">
        <v>13</v>
      </c>
      <c r="H2" s="161" t="s">
        <v>17</v>
      </c>
      <c r="I2" s="159" t="s">
        <v>16</v>
      </c>
      <c r="J2" s="159" t="s">
        <v>3</v>
      </c>
      <c r="K2" s="159" t="s">
        <v>4</v>
      </c>
      <c r="L2" s="161"/>
      <c r="M2" s="161"/>
      <c r="N2" s="161"/>
      <c r="O2" s="161"/>
    </row>
    <row r="3" spans="1:15" ht="15.75" thickBot="1" x14ac:dyDescent="0.3">
      <c r="A3" s="194"/>
      <c r="B3" s="160"/>
      <c r="C3" s="160"/>
      <c r="D3" s="160"/>
      <c r="E3" s="160"/>
      <c r="F3" s="162"/>
      <c r="G3" s="162"/>
      <c r="H3" s="162"/>
      <c r="I3" s="160"/>
      <c r="J3" s="160"/>
      <c r="K3" s="160"/>
      <c r="L3" s="162"/>
      <c r="M3" s="162"/>
      <c r="N3" s="162"/>
      <c r="O3" s="162"/>
    </row>
    <row r="4" spans="1:15" s="2" customFormat="1" ht="30.75" thickBot="1" x14ac:dyDescent="0.3">
      <c r="A4" s="29">
        <v>1</v>
      </c>
      <c r="B4" s="30" t="s">
        <v>9</v>
      </c>
      <c r="C4" s="31" t="s">
        <v>12</v>
      </c>
      <c r="D4" s="32">
        <f>COUNTIF($C$4:C4,C4)</f>
        <v>1</v>
      </c>
      <c r="E4" s="33" t="str">
        <f>_xlfn.TEXTJOIN("-",TRUE,B4,C4,TEXT(D4,"00"))</f>
        <v>TC-HL-01</v>
      </c>
      <c r="F4" s="34" t="s">
        <v>14</v>
      </c>
      <c r="G4" s="34" t="s">
        <v>15</v>
      </c>
      <c r="H4" s="34" t="s">
        <v>18</v>
      </c>
      <c r="I4" s="35" t="s">
        <v>19</v>
      </c>
      <c r="J4" s="32"/>
      <c r="K4" s="36" t="s">
        <v>20</v>
      </c>
      <c r="L4" s="36" t="s">
        <v>39</v>
      </c>
      <c r="M4" s="36" t="s">
        <v>40</v>
      </c>
      <c r="N4" s="32" t="s">
        <v>21</v>
      </c>
      <c r="O4" s="37" t="s">
        <v>22</v>
      </c>
    </row>
    <row r="5" spans="1:15" s="2" customFormat="1" x14ac:dyDescent="0.25">
      <c r="A5" s="141">
        <v>2</v>
      </c>
      <c r="B5" s="144" t="s">
        <v>9</v>
      </c>
      <c r="C5" s="126" t="s">
        <v>12</v>
      </c>
      <c r="D5" s="126">
        <f>COUNTIF($C$4:C5,C5)</f>
        <v>2</v>
      </c>
      <c r="E5" s="148" t="str">
        <f>_xlfn.TEXTJOIN("-",TRUE,B5,C5,TEXT(D5,"00"))</f>
        <v>TC-HL-02</v>
      </c>
      <c r="F5" s="128" t="s">
        <v>41</v>
      </c>
      <c r="G5" s="128" t="s">
        <v>26</v>
      </c>
      <c r="H5" s="128" t="s">
        <v>23</v>
      </c>
      <c r="I5" s="142">
        <v>1</v>
      </c>
      <c r="J5" s="38">
        <v>1</v>
      </c>
      <c r="K5" s="39" t="s">
        <v>24</v>
      </c>
      <c r="L5" s="40"/>
      <c r="M5" s="40"/>
      <c r="N5" s="126" t="s">
        <v>21</v>
      </c>
      <c r="O5" s="155" t="s">
        <v>22</v>
      </c>
    </row>
    <row r="6" spans="1:15" s="2" customFormat="1" ht="45.75" thickBot="1" x14ac:dyDescent="0.3">
      <c r="A6" s="141"/>
      <c r="B6" s="145"/>
      <c r="C6" s="130"/>
      <c r="D6" s="130"/>
      <c r="E6" s="150"/>
      <c r="F6" s="129"/>
      <c r="G6" s="129"/>
      <c r="H6" s="129"/>
      <c r="I6" s="143"/>
      <c r="J6" s="41">
        <v>2</v>
      </c>
      <c r="K6" s="42" t="s">
        <v>25</v>
      </c>
      <c r="L6" s="43" t="s">
        <v>33</v>
      </c>
      <c r="M6" s="43" t="s">
        <v>81</v>
      </c>
      <c r="N6" s="130"/>
      <c r="O6" s="157"/>
    </row>
    <row r="7" spans="1:15" s="2" customFormat="1" x14ac:dyDescent="0.25">
      <c r="A7" s="141">
        <v>3</v>
      </c>
      <c r="B7" s="144" t="s">
        <v>9</v>
      </c>
      <c r="C7" s="126" t="s">
        <v>12</v>
      </c>
      <c r="D7" s="126">
        <f>COUNTIF($C$4:C7,C7)</f>
        <v>3</v>
      </c>
      <c r="E7" s="148" t="str">
        <f>_xlfn.TEXTJOIN("-",TRUE,B7,C7,TEXT(D7,"00"))</f>
        <v>TC-HL-03</v>
      </c>
      <c r="F7" s="128" t="s">
        <v>42</v>
      </c>
      <c r="G7" s="128" t="s">
        <v>27</v>
      </c>
      <c r="H7" s="128" t="s">
        <v>23</v>
      </c>
      <c r="I7" s="142">
        <v>2</v>
      </c>
      <c r="J7" s="38">
        <v>1</v>
      </c>
      <c r="K7" s="39" t="s">
        <v>30</v>
      </c>
      <c r="L7" s="40"/>
      <c r="M7" s="40"/>
      <c r="N7" s="126" t="s">
        <v>21</v>
      </c>
      <c r="O7" s="155" t="s">
        <v>22</v>
      </c>
    </row>
    <row r="8" spans="1:15" s="2" customFormat="1" ht="60.75" thickBot="1" x14ac:dyDescent="0.3">
      <c r="A8" s="141"/>
      <c r="B8" s="145"/>
      <c r="C8" s="130"/>
      <c r="D8" s="130"/>
      <c r="E8" s="150"/>
      <c r="F8" s="129"/>
      <c r="G8" s="129"/>
      <c r="H8" s="129"/>
      <c r="I8" s="143"/>
      <c r="J8" s="41">
        <v>2</v>
      </c>
      <c r="K8" s="42" t="s">
        <v>25</v>
      </c>
      <c r="L8" s="43" t="s">
        <v>36</v>
      </c>
      <c r="M8" s="43" t="s">
        <v>37</v>
      </c>
      <c r="N8" s="130"/>
      <c r="O8" s="157"/>
    </row>
    <row r="9" spans="1:15" s="2" customFormat="1" x14ac:dyDescent="0.25">
      <c r="A9" s="141">
        <v>4</v>
      </c>
      <c r="B9" s="144" t="s">
        <v>9</v>
      </c>
      <c r="C9" s="126" t="s">
        <v>12</v>
      </c>
      <c r="D9" s="126">
        <f>COUNTIF($C$4:C9,C9)</f>
        <v>4</v>
      </c>
      <c r="E9" s="148" t="str">
        <f>_xlfn.TEXTJOIN("-",TRUE,B9,C9,TEXT(D9,"00"))</f>
        <v>TC-HL-04</v>
      </c>
      <c r="F9" s="128" t="s">
        <v>43</v>
      </c>
      <c r="G9" s="128" t="s">
        <v>28</v>
      </c>
      <c r="H9" s="128" t="s">
        <v>23</v>
      </c>
      <c r="I9" s="142">
        <v>3</v>
      </c>
      <c r="J9" s="38">
        <v>1</v>
      </c>
      <c r="K9" s="39" t="s">
        <v>32</v>
      </c>
      <c r="L9" s="40"/>
      <c r="M9" s="40"/>
      <c r="N9" s="126" t="s">
        <v>21</v>
      </c>
      <c r="O9" s="155" t="s">
        <v>22</v>
      </c>
    </row>
    <row r="10" spans="1:15" s="2" customFormat="1" ht="75.75" thickBot="1" x14ac:dyDescent="0.3">
      <c r="A10" s="141"/>
      <c r="B10" s="145"/>
      <c r="C10" s="130"/>
      <c r="D10" s="130"/>
      <c r="E10" s="150"/>
      <c r="F10" s="129"/>
      <c r="G10" s="129"/>
      <c r="H10" s="129"/>
      <c r="I10" s="143"/>
      <c r="J10" s="41">
        <v>2</v>
      </c>
      <c r="K10" s="42" t="s">
        <v>25</v>
      </c>
      <c r="L10" s="43" t="s">
        <v>38</v>
      </c>
      <c r="M10" s="43" t="s">
        <v>78</v>
      </c>
      <c r="N10" s="130"/>
      <c r="O10" s="157"/>
    </row>
    <row r="11" spans="1:15" s="2" customFormat="1" x14ac:dyDescent="0.25">
      <c r="A11" s="141">
        <v>5</v>
      </c>
      <c r="B11" s="144" t="s">
        <v>9</v>
      </c>
      <c r="C11" s="126" t="s">
        <v>12</v>
      </c>
      <c r="D11" s="126">
        <f>COUNTIF($C$4:C11,C11)</f>
        <v>5</v>
      </c>
      <c r="E11" s="148" t="str">
        <f>_xlfn.TEXTJOIN("-",TRUE,B11,C11,TEXT(D11,"00"))</f>
        <v>TC-HL-05</v>
      </c>
      <c r="F11" s="128" t="s">
        <v>44</v>
      </c>
      <c r="G11" s="128" t="s">
        <v>29</v>
      </c>
      <c r="H11" s="128" t="s">
        <v>23</v>
      </c>
      <c r="I11" s="142">
        <v>4</v>
      </c>
      <c r="J11" s="38">
        <v>1</v>
      </c>
      <c r="K11" s="39" t="s">
        <v>31</v>
      </c>
      <c r="L11" s="40"/>
      <c r="M11" s="40"/>
      <c r="N11" s="126" t="s">
        <v>21</v>
      </c>
      <c r="O11" s="155" t="s">
        <v>22</v>
      </c>
    </row>
    <row r="12" spans="1:15" s="2" customFormat="1" ht="30.75" thickBot="1" x14ac:dyDescent="0.3">
      <c r="A12" s="141"/>
      <c r="B12" s="176"/>
      <c r="C12" s="127"/>
      <c r="D12" s="127"/>
      <c r="E12" s="166"/>
      <c r="F12" s="164"/>
      <c r="G12" s="164"/>
      <c r="H12" s="164"/>
      <c r="I12" s="165"/>
      <c r="J12" s="44">
        <v>2</v>
      </c>
      <c r="K12" s="45" t="s">
        <v>25</v>
      </c>
      <c r="L12" s="46" t="s">
        <v>34</v>
      </c>
      <c r="M12" s="46" t="s">
        <v>35</v>
      </c>
      <c r="N12" s="127"/>
      <c r="O12" s="158"/>
    </row>
    <row r="13" spans="1:15" s="2" customFormat="1" x14ac:dyDescent="0.25">
      <c r="A13" s="141">
        <v>6</v>
      </c>
      <c r="B13" s="144" t="s">
        <v>9</v>
      </c>
      <c r="C13" s="126" t="s">
        <v>12</v>
      </c>
      <c r="D13" s="126">
        <f>COUNTIF($C$4:C13,C13)</f>
        <v>6</v>
      </c>
      <c r="E13" s="148" t="str">
        <f>_xlfn.TEXTJOIN("-",TRUE,B13,C13,TEXT(D13,"00"))</f>
        <v>TC-HL-06</v>
      </c>
      <c r="F13" s="128" t="s">
        <v>45</v>
      </c>
      <c r="G13" s="128" t="s">
        <v>50</v>
      </c>
      <c r="H13" s="128" t="s">
        <v>23</v>
      </c>
      <c r="I13" s="142">
        <v>15</v>
      </c>
      <c r="J13" s="38">
        <v>1</v>
      </c>
      <c r="K13" s="39" t="s">
        <v>46</v>
      </c>
      <c r="L13" s="40"/>
      <c r="M13" s="40"/>
      <c r="N13" s="126" t="s">
        <v>21</v>
      </c>
      <c r="O13" s="155" t="s">
        <v>22</v>
      </c>
    </row>
    <row r="14" spans="1:15" s="2" customFormat="1" ht="45.75" thickBot="1" x14ac:dyDescent="0.3">
      <c r="A14" s="141"/>
      <c r="B14" s="145"/>
      <c r="C14" s="130"/>
      <c r="D14" s="130"/>
      <c r="E14" s="150"/>
      <c r="F14" s="129"/>
      <c r="G14" s="129"/>
      <c r="H14" s="129"/>
      <c r="I14" s="143"/>
      <c r="J14" s="41">
        <v>2</v>
      </c>
      <c r="K14" s="42" t="s">
        <v>25</v>
      </c>
      <c r="L14" s="43" t="s">
        <v>47</v>
      </c>
      <c r="M14" s="43" t="s">
        <v>82</v>
      </c>
      <c r="N14" s="130"/>
      <c r="O14" s="157"/>
    </row>
    <row r="15" spans="1:15" s="2" customFormat="1" x14ac:dyDescent="0.25">
      <c r="A15" s="141">
        <v>7</v>
      </c>
      <c r="B15" s="144" t="s">
        <v>9</v>
      </c>
      <c r="C15" s="126" t="s">
        <v>12</v>
      </c>
      <c r="D15" s="126">
        <f>COUNTIF($C$4:C15,C15)</f>
        <v>7</v>
      </c>
      <c r="E15" s="148" t="str">
        <f>_xlfn.TEXTJOIN("-",TRUE,B15,C15,TEXT(D15,"00"))</f>
        <v>TC-HL-07</v>
      </c>
      <c r="F15" s="128" t="s">
        <v>48</v>
      </c>
      <c r="G15" s="128" t="s">
        <v>49</v>
      </c>
      <c r="H15" s="128" t="s">
        <v>23</v>
      </c>
      <c r="I15" s="142" t="s">
        <v>51</v>
      </c>
      <c r="J15" s="38">
        <v>1</v>
      </c>
      <c r="K15" s="39" t="s">
        <v>52</v>
      </c>
      <c r="L15" s="40"/>
      <c r="M15" s="40"/>
      <c r="N15" s="126" t="s">
        <v>21</v>
      </c>
      <c r="O15" s="155" t="s">
        <v>22</v>
      </c>
    </row>
    <row r="16" spans="1:15" s="2" customFormat="1" ht="45.75" thickBot="1" x14ac:dyDescent="0.3">
      <c r="A16" s="141"/>
      <c r="B16" s="145"/>
      <c r="C16" s="130"/>
      <c r="D16" s="130"/>
      <c r="E16" s="150"/>
      <c r="F16" s="129"/>
      <c r="G16" s="129"/>
      <c r="H16" s="129"/>
      <c r="I16" s="143"/>
      <c r="J16" s="41">
        <v>2</v>
      </c>
      <c r="K16" s="42" t="s">
        <v>25</v>
      </c>
      <c r="L16" s="43" t="s">
        <v>47</v>
      </c>
      <c r="M16" s="43" t="s">
        <v>82</v>
      </c>
      <c r="N16" s="130"/>
      <c r="O16" s="157"/>
    </row>
    <row r="17" spans="1:15" s="2" customFormat="1" x14ac:dyDescent="0.25">
      <c r="A17" s="141">
        <v>8</v>
      </c>
      <c r="B17" s="144" t="s">
        <v>9</v>
      </c>
      <c r="C17" s="126" t="s">
        <v>12</v>
      </c>
      <c r="D17" s="126">
        <f>COUNTIF($C$4:C17,C17)</f>
        <v>8</v>
      </c>
      <c r="E17" s="148" t="str">
        <f>_xlfn.TEXTJOIN("-",TRUE,B17,C17,TEXT(D17,"00"))</f>
        <v>TC-HL-08</v>
      </c>
      <c r="F17" s="128" t="s">
        <v>53</v>
      </c>
      <c r="G17" s="128" t="s">
        <v>54</v>
      </c>
      <c r="H17" s="128" t="s">
        <v>23</v>
      </c>
      <c r="I17" s="142" t="s">
        <v>55</v>
      </c>
      <c r="J17" s="38">
        <v>1</v>
      </c>
      <c r="K17" s="39" t="s">
        <v>77</v>
      </c>
      <c r="L17" s="40"/>
      <c r="M17" s="40"/>
      <c r="N17" s="126" t="s">
        <v>21</v>
      </c>
      <c r="O17" s="155" t="s">
        <v>22</v>
      </c>
    </row>
    <row r="18" spans="1:15" s="2" customFormat="1" ht="45.75" thickBot="1" x14ac:dyDescent="0.3">
      <c r="A18" s="141"/>
      <c r="B18" s="145"/>
      <c r="C18" s="130"/>
      <c r="D18" s="130"/>
      <c r="E18" s="150"/>
      <c r="F18" s="129"/>
      <c r="G18" s="129"/>
      <c r="H18" s="129"/>
      <c r="I18" s="143"/>
      <c r="J18" s="41">
        <v>2</v>
      </c>
      <c r="K18" s="42" t="s">
        <v>25</v>
      </c>
      <c r="L18" s="43" t="s">
        <v>47</v>
      </c>
      <c r="M18" s="43" t="s">
        <v>82</v>
      </c>
      <c r="N18" s="130"/>
      <c r="O18" s="157"/>
    </row>
    <row r="19" spans="1:15" ht="45.75" thickBot="1" x14ac:dyDescent="0.3">
      <c r="A19" s="29">
        <v>9</v>
      </c>
      <c r="B19" s="47" t="s">
        <v>9</v>
      </c>
      <c r="C19" s="48" t="s">
        <v>12</v>
      </c>
      <c r="D19" s="48">
        <f>COUNTIF($C$4:C19,C19)</f>
        <v>9</v>
      </c>
      <c r="E19" s="49" t="str">
        <f>_xlfn.TEXTJOIN("-",TRUE,B19,C19,TEXT(D19,"00"))</f>
        <v>TC-HL-09</v>
      </c>
      <c r="F19" s="50" t="s">
        <v>56</v>
      </c>
      <c r="G19" s="50" t="s">
        <v>57</v>
      </c>
      <c r="H19" s="50" t="s">
        <v>23</v>
      </c>
      <c r="I19" s="51" t="s">
        <v>80</v>
      </c>
      <c r="J19" s="48">
        <v>1</v>
      </c>
      <c r="K19" s="52" t="s">
        <v>25</v>
      </c>
      <c r="L19" s="53" t="s">
        <v>47</v>
      </c>
      <c r="M19" s="53" t="s">
        <v>82</v>
      </c>
      <c r="N19" s="48" t="s">
        <v>21</v>
      </c>
      <c r="O19" s="54" t="s">
        <v>22</v>
      </c>
    </row>
    <row r="20" spans="1:15" x14ac:dyDescent="0.25">
      <c r="A20" s="141">
        <v>10</v>
      </c>
      <c r="B20" s="144" t="s">
        <v>9</v>
      </c>
      <c r="C20" s="126" t="s">
        <v>12</v>
      </c>
      <c r="D20" s="126">
        <f>COUNTIF($C$4:C20,C20)</f>
        <v>10</v>
      </c>
      <c r="E20" s="148" t="str">
        <f>_xlfn.TEXTJOIN("-",TRUE,B20,C20,TEXT(D20,"00"))</f>
        <v>TC-HL-10</v>
      </c>
      <c r="F20" s="128" t="s">
        <v>58</v>
      </c>
      <c r="G20" s="128" t="s">
        <v>59</v>
      </c>
      <c r="H20" s="128" t="s">
        <v>23</v>
      </c>
      <c r="I20" s="142" t="s">
        <v>60</v>
      </c>
      <c r="J20" s="38">
        <v>1</v>
      </c>
      <c r="K20" s="39" t="s">
        <v>61</v>
      </c>
      <c r="L20" s="40"/>
      <c r="M20" s="40"/>
      <c r="N20" s="126" t="s">
        <v>21</v>
      </c>
      <c r="O20" s="155" t="s">
        <v>22</v>
      </c>
    </row>
    <row r="21" spans="1:15" ht="45.75" thickBot="1" x14ac:dyDescent="0.3">
      <c r="A21" s="141"/>
      <c r="B21" s="176"/>
      <c r="C21" s="127"/>
      <c r="D21" s="127"/>
      <c r="E21" s="166"/>
      <c r="F21" s="164"/>
      <c r="G21" s="164"/>
      <c r="H21" s="164"/>
      <c r="I21" s="165"/>
      <c r="J21" s="44">
        <v>2</v>
      </c>
      <c r="K21" s="45" t="s">
        <v>25</v>
      </c>
      <c r="L21" s="46" t="s">
        <v>47</v>
      </c>
      <c r="M21" s="46" t="s">
        <v>82</v>
      </c>
      <c r="N21" s="127"/>
      <c r="O21" s="158"/>
    </row>
    <row r="22" spans="1:15" x14ac:dyDescent="0.25">
      <c r="A22" s="141">
        <v>11</v>
      </c>
      <c r="B22" s="144" t="s">
        <v>9</v>
      </c>
      <c r="C22" s="126" t="s">
        <v>12</v>
      </c>
      <c r="D22" s="126">
        <f>COUNTIF($C$4:C22,C22)</f>
        <v>11</v>
      </c>
      <c r="E22" s="148" t="str">
        <f>_xlfn.TEXTJOIN("-",TRUE,B22,C22,TEXT(D22,"00"))</f>
        <v>TC-HL-11</v>
      </c>
      <c r="F22" s="128" t="s">
        <v>62</v>
      </c>
      <c r="G22" s="128" t="s">
        <v>63</v>
      </c>
      <c r="H22" s="128" t="s">
        <v>23</v>
      </c>
      <c r="I22" s="142">
        <v>3.14</v>
      </c>
      <c r="J22" s="38">
        <v>1</v>
      </c>
      <c r="K22" s="39" t="s">
        <v>64</v>
      </c>
      <c r="L22" s="40"/>
      <c r="M22" s="40"/>
      <c r="N22" s="126" t="s">
        <v>21</v>
      </c>
      <c r="O22" s="155" t="s">
        <v>22</v>
      </c>
    </row>
    <row r="23" spans="1:15" ht="45.75" thickBot="1" x14ac:dyDescent="0.3">
      <c r="A23" s="141"/>
      <c r="B23" s="145"/>
      <c r="C23" s="130"/>
      <c r="D23" s="130"/>
      <c r="E23" s="150"/>
      <c r="F23" s="129"/>
      <c r="G23" s="129"/>
      <c r="H23" s="129"/>
      <c r="I23" s="143"/>
      <c r="J23" s="41">
        <v>2</v>
      </c>
      <c r="K23" s="42" t="s">
        <v>25</v>
      </c>
      <c r="L23" s="43" t="s">
        <v>47</v>
      </c>
      <c r="M23" s="43" t="s">
        <v>82</v>
      </c>
      <c r="N23" s="130"/>
      <c r="O23" s="157"/>
    </row>
    <row r="24" spans="1:15" x14ac:dyDescent="0.25">
      <c r="A24" s="141">
        <v>12</v>
      </c>
      <c r="B24" s="144" t="s">
        <v>9</v>
      </c>
      <c r="C24" s="126" t="s">
        <v>12</v>
      </c>
      <c r="D24" s="126">
        <f>COUNTIF($C$4:C24,C24)</f>
        <v>12</v>
      </c>
      <c r="E24" s="148" t="str">
        <f>_xlfn.TEXTJOIN("-",TRUE,B24,C24,TEXT(D24,"00"))</f>
        <v>TC-HL-12</v>
      </c>
      <c r="F24" s="128" t="s">
        <v>65</v>
      </c>
      <c r="G24" s="128" t="s">
        <v>66</v>
      </c>
      <c r="H24" s="128" t="s">
        <v>23</v>
      </c>
      <c r="I24" s="152">
        <v>-10</v>
      </c>
      <c r="J24" s="38">
        <v>1</v>
      </c>
      <c r="K24" s="39" t="s">
        <v>67</v>
      </c>
      <c r="L24" s="40"/>
      <c r="M24" s="40"/>
      <c r="N24" s="126" t="s">
        <v>21</v>
      </c>
      <c r="O24" s="155" t="s">
        <v>22</v>
      </c>
    </row>
    <row r="25" spans="1:15" ht="45.75" thickBot="1" x14ac:dyDescent="0.3">
      <c r="A25" s="141"/>
      <c r="B25" s="145"/>
      <c r="C25" s="130"/>
      <c r="D25" s="130"/>
      <c r="E25" s="150"/>
      <c r="F25" s="129"/>
      <c r="G25" s="129"/>
      <c r="H25" s="129"/>
      <c r="I25" s="154"/>
      <c r="J25" s="41">
        <v>2</v>
      </c>
      <c r="K25" s="42" t="s">
        <v>25</v>
      </c>
      <c r="L25" s="43" t="s">
        <v>47</v>
      </c>
      <c r="M25" s="43" t="s">
        <v>82</v>
      </c>
      <c r="N25" s="130"/>
      <c r="O25" s="157"/>
    </row>
    <row r="26" spans="1:15" x14ac:dyDescent="0.25">
      <c r="A26" s="141">
        <v>13</v>
      </c>
      <c r="B26" s="144" t="s">
        <v>9</v>
      </c>
      <c r="C26" s="126" t="s">
        <v>12</v>
      </c>
      <c r="D26" s="126">
        <f>COUNTIF($C$4:C26,C26)</f>
        <v>13</v>
      </c>
      <c r="E26" s="148" t="str">
        <f>_xlfn.TEXTJOIN("-",TRUE,B26,C26,TEXT(D26,"00"))</f>
        <v>TC-HL-13</v>
      </c>
      <c r="F26" s="128" t="s">
        <v>68</v>
      </c>
      <c r="G26" s="128" t="s">
        <v>69</v>
      </c>
      <c r="H26" s="128" t="s">
        <v>23</v>
      </c>
      <c r="I26" s="152" t="s">
        <v>71</v>
      </c>
      <c r="J26" s="38">
        <v>1</v>
      </c>
      <c r="K26" s="40" t="s">
        <v>70</v>
      </c>
      <c r="L26" s="40"/>
      <c r="M26" s="40"/>
      <c r="N26" s="126" t="s">
        <v>21</v>
      </c>
      <c r="O26" s="155" t="s">
        <v>22</v>
      </c>
    </row>
    <row r="27" spans="1:15" ht="45.75" thickBot="1" x14ac:dyDescent="0.3">
      <c r="A27" s="141"/>
      <c r="B27" s="145"/>
      <c r="C27" s="130"/>
      <c r="D27" s="130"/>
      <c r="E27" s="150"/>
      <c r="F27" s="129"/>
      <c r="G27" s="129"/>
      <c r="H27" s="129"/>
      <c r="I27" s="154"/>
      <c r="J27" s="41">
        <v>2</v>
      </c>
      <c r="K27" s="42" t="s">
        <v>25</v>
      </c>
      <c r="L27" s="43" t="s">
        <v>47</v>
      </c>
      <c r="M27" s="43" t="s">
        <v>82</v>
      </c>
      <c r="N27" s="130"/>
      <c r="O27" s="157"/>
    </row>
    <row r="28" spans="1:15" x14ac:dyDescent="0.25">
      <c r="A28" s="141">
        <v>14</v>
      </c>
      <c r="B28" s="144" t="s">
        <v>9</v>
      </c>
      <c r="C28" s="126" t="s">
        <v>12</v>
      </c>
      <c r="D28" s="126">
        <f>COUNTIF($C$4:C28,C28)</f>
        <v>14</v>
      </c>
      <c r="E28" s="148" t="str">
        <f>_xlfn.TEXTJOIN("-",TRUE,B28,C28,TEXT(D28,"00"))</f>
        <v>TC-HL-14</v>
      </c>
      <c r="F28" s="128" t="s">
        <v>72</v>
      </c>
      <c r="G28" s="128" t="s">
        <v>73</v>
      </c>
      <c r="H28" s="128" t="s">
        <v>23</v>
      </c>
      <c r="I28" s="152" t="s">
        <v>79</v>
      </c>
      <c r="J28" s="38">
        <v>1</v>
      </c>
      <c r="K28" s="40" t="s">
        <v>74</v>
      </c>
      <c r="L28" s="40"/>
      <c r="M28" s="40"/>
      <c r="N28" s="126" t="s">
        <v>21</v>
      </c>
      <c r="O28" s="155" t="s">
        <v>22</v>
      </c>
    </row>
    <row r="29" spans="1:15" ht="45" x14ac:dyDescent="0.25">
      <c r="A29" s="141"/>
      <c r="B29" s="146"/>
      <c r="C29" s="147"/>
      <c r="D29" s="147"/>
      <c r="E29" s="149"/>
      <c r="F29" s="151"/>
      <c r="G29" s="151"/>
      <c r="H29" s="151"/>
      <c r="I29" s="153"/>
      <c r="J29" s="55">
        <v>2</v>
      </c>
      <c r="K29" s="56" t="s">
        <v>25</v>
      </c>
      <c r="L29" s="57" t="s">
        <v>47</v>
      </c>
      <c r="M29" s="57" t="s">
        <v>82</v>
      </c>
      <c r="N29" s="147"/>
      <c r="O29" s="156"/>
    </row>
    <row r="30" spans="1:15" x14ac:dyDescent="0.25">
      <c r="A30" s="141"/>
      <c r="B30" s="146"/>
      <c r="C30" s="147"/>
      <c r="D30" s="147"/>
      <c r="E30" s="149"/>
      <c r="F30" s="151"/>
      <c r="G30" s="151"/>
      <c r="H30" s="151"/>
      <c r="I30" s="153"/>
      <c r="J30" s="55">
        <v>3</v>
      </c>
      <c r="K30" s="56" t="s">
        <v>75</v>
      </c>
      <c r="L30" s="57"/>
      <c r="M30" s="57"/>
      <c r="N30" s="147"/>
      <c r="O30" s="156"/>
    </row>
    <row r="31" spans="1:15" ht="45" x14ac:dyDescent="0.25">
      <c r="A31" s="141"/>
      <c r="B31" s="146"/>
      <c r="C31" s="147"/>
      <c r="D31" s="147"/>
      <c r="E31" s="149"/>
      <c r="F31" s="151"/>
      <c r="G31" s="151"/>
      <c r="H31" s="151"/>
      <c r="I31" s="153"/>
      <c r="J31" s="55">
        <v>4</v>
      </c>
      <c r="K31" s="56" t="s">
        <v>25</v>
      </c>
      <c r="L31" s="57" t="s">
        <v>47</v>
      </c>
      <c r="M31" s="57" t="s">
        <v>82</v>
      </c>
      <c r="N31" s="147"/>
      <c r="O31" s="156"/>
    </row>
    <row r="32" spans="1:15" x14ac:dyDescent="0.25">
      <c r="A32" s="141"/>
      <c r="B32" s="146"/>
      <c r="C32" s="147"/>
      <c r="D32" s="147"/>
      <c r="E32" s="149"/>
      <c r="F32" s="151"/>
      <c r="G32" s="151"/>
      <c r="H32" s="151"/>
      <c r="I32" s="153"/>
      <c r="J32" s="55">
        <v>5</v>
      </c>
      <c r="K32" s="56" t="s">
        <v>76</v>
      </c>
      <c r="L32" s="57"/>
      <c r="M32" s="57"/>
      <c r="N32" s="147"/>
      <c r="O32" s="156"/>
    </row>
    <row r="33" spans="1:15" ht="30.75" thickBot="1" x14ac:dyDescent="0.3">
      <c r="A33" s="141"/>
      <c r="B33" s="145"/>
      <c r="C33" s="130"/>
      <c r="D33" s="130"/>
      <c r="E33" s="150"/>
      <c r="F33" s="129"/>
      <c r="G33" s="129"/>
      <c r="H33" s="129"/>
      <c r="I33" s="154"/>
      <c r="J33" s="41">
        <v>6</v>
      </c>
      <c r="K33" s="43" t="s">
        <v>25</v>
      </c>
      <c r="L33" s="43" t="s">
        <v>34</v>
      </c>
      <c r="M33" s="43" t="s">
        <v>35</v>
      </c>
      <c r="N33" s="130"/>
      <c r="O33" s="157"/>
    </row>
    <row r="34" spans="1:15" x14ac:dyDescent="0.25">
      <c r="A34" s="137">
        <v>15</v>
      </c>
      <c r="B34" s="138" t="s">
        <v>9</v>
      </c>
      <c r="C34" s="134" t="s">
        <v>83</v>
      </c>
      <c r="D34" s="134">
        <f>COUNTIF($C$4:C34,C34)</f>
        <v>1</v>
      </c>
      <c r="E34" s="167" t="str">
        <f>_xlfn.TEXTJOIN("-",TRUE,B34,C34,TEXT(D34,"00"))</f>
        <v>TC-PU-01</v>
      </c>
      <c r="F34" s="170" t="s">
        <v>84</v>
      </c>
      <c r="G34" s="170" t="s">
        <v>90</v>
      </c>
      <c r="H34" s="170" t="s">
        <v>85</v>
      </c>
      <c r="I34" s="173" t="s">
        <v>92</v>
      </c>
      <c r="J34" s="16">
        <v>1</v>
      </c>
      <c r="K34" s="17" t="s">
        <v>86</v>
      </c>
      <c r="L34" s="21"/>
      <c r="M34" s="21"/>
      <c r="N34" s="134" t="s">
        <v>89</v>
      </c>
      <c r="O34" s="131" t="s">
        <v>22</v>
      </c>
    </row>
    <row r="35" spans="1:15" ht="45" x14ac:dyDescent="0.25">
      <c r="A35" s="137"/>
      <c r="B35" s="139"/>
      <c r="C35" s="135"/>
      <c r="D35" s="135"/>
      <c r="E35" s="168"/>
      <c r="F35" s="171"/>
      <c r="G35" s="171"/>
      <c r="H35" s="171"/>
      <c r="I35" s="174"/>
      <c r="J35" s="9">
        <v>2</v>
      </c>
      <c r="K35" s="12" t="s">
        <v>25</v>
      </c>
      <c r="L35" s="10" t="s">
        <v>330</v>
      </c>
      <c r="M35" s="10" t="s">
        <v>331</v>
      </c>
      <c r="N35" s="135"/>
      <c r="O35" s="132"/>
    </row>
    <row r="36" spans="1:15" x14ac:dyDescent="0.25">
      <c r="A36" s="137"/>
      <c r="B36" s="139"/>
      <c r="C36" s="135"/>
      <c r="D36" s="135"/>
      <c r="E36" s="168"/>
      <c r="F36" s="171"/>
      <c r="G36" s="171"/>
      <c r="H36" s="171"/>
      <c r="I36" s="174"/>
      <c r="J36" s="9">
        <v>3</v>
      </c>
      <c r="K36" s="12" t="s">
        <v>91</v>
      </c>
      <c r="L36" s="11"/>
      <c r="M36" s="11"/>
      <c r="N36" s="135"/>
      <c r="O36" s="132"/>
    </row>
    <row r="37" spans="1:15" ht="30.75" thickBot="1" x14ac:dyDescent="0.3">
      <c r="A37" s="137"/>
      <c r="B37" s="140"/>
      <c r="C37" s="136"/>
      <c r="D37" s="136"/>
      <c r="E37" s="169"/>
      <c r="F37" s="172"/>
      <c r="G37" s="172"/>
      <c r="H37" s="172"/>
      <c r="I37" s="175"/>
      <c r="J37" s="13">
        <v>4</v>
      </c>
      <c r="K37" s="14" t="s">
        <v>25</v>
      </c>
      <c r="L37" s="15" t="s">
        <v>261</v>
      </c>
      <c r="M37" s="15" t="s">
        <v>262</v>
      </c>
      <c r="N37" s="136"/>
      <c r="O37" s="133"/>
    </row>
    <row r="38" spans="1:15" x14ac:dyDescent="0.25">
      <c r="A38" s="137">
        <v>16</v>
      </c>
      <c r="B38" s="138" t="s">
        <v>9</v>
      </c>
      <c r="C38" s="134" t="s">
        <v>83</v>
      </c>
      <c r="D38" s="134">
        <f>COUNTIF($C$4:C38,C38)</f>
        <v>2</v>
      </c>
      <c r="E38" s="167" t="str">
        <f>_xlfn.TEXTJOIN("-",TRUE,B38,C38,TEXT(D38,"00"))</f>
        <v>TC-PU-02</v>
      </c>
      <c r="F38" s="181" t="s">
        <v>116</v>
      </c>
      <c r="G38" s="181" t="s">
        <v>131</v>
      </c>
      <c r="H38" s="181" t="s">
        <v>85</v>
      </c>
      <c r="I38" s="173" t="s">
        <v>108</v>
      </c>
      <c r="J38" s="16">
        <v>1</v>
      </c>
      <c r="K38" s="17" t="s">
        <v>109</v>
      </c>
      <c r="L38" s="21"/>
      <c r="M38" s="21"/>
      <c r="N38" s="134" t="s">
        <v>89</v>
      </c>
      <c r="O38" s="131" t="s">
        <v>22</v>
      </c>
    </row>
    <row r="39" spans="1:15" ht="45" x14ac:dyDescent="0.25">
      <c r="A39" s="137"/>
      <c r="B39" s="139"/>
      <c r="C39" s="135"/>
      <c r="D39" s="135"/>
      <c r="E39" s="168"/>
      <c r="F39" s="182"/>
      <c r="G39" s="182"/>
      <c r="H39" s="182"/>
      <c r="I39" s="174"/>
      <c r="J39" s="9">
        <v>2</v>
      </c>
      <c r="K39" s="12" t="s">
        <v>25</v>
      </c>
      <c r="L39" s="10" t="s">
        <v>110</v>
      </c>
      <c r="M39" s="10" t="s">
        <v>111</v>
      </c>
      <c r="N39" s="135"/>
      <c r="O39" s="132"/>
    </row>
    <row r="40" spans="1:15" x14ac:dyDescent="0.25">
      <c r="A40" s="137"/>
      <c r="B40" s="139"/>
      <c r="C40" s="135"/>
      <c r="D40" s="135"/>
      <c r="E40" s="168"/>
      <c r="F40" s="182"/>
      <c r="G40" s="182"/>
      <c r="H40" s="182"/>
      <c r="I40" s="174"/>
      <c r="J40" s="9">
        <v>3</v>
      </c>
      <c r="K40" s="10" t="s">
        <v>86</v>
      </c>
      <c r="L40" s="10"/>
      <c r="M40" s="10"/>
      <c r="N40" s="135"/>
      <c r="O40" s="132"/>
    </row>
    <row r="41" spans="1:15" ht="45" x14ac:dyDescent="0.25">
      <c r="A41" s="137"/>
      <c r="B41" s="139"/>
      <c r="C41" s="135"/>
      <c r="D41" s="135"/>
      <c r="E41" s="168"/>
      <c r="F41" s="182"/>
      <c r="G41" s="182"/>
      <c r="H41" s="182"/>
      <c r="I41" s="174"/>
      <c r="J41" s="9">
        <v>4</v>
      </c>
      <c r="K41" s="12" t="s">
        <v>25</v>
      </c>
      <c r="L41" s="10" t="s">
        <v>87</v>
      </c>
      <c r="M41" s="10" t="s">
        <v>88</v>
      </c>
      <c r="N41" s="135"/>
      <c r="O41" s="132"/>
    </row>
    <row r="42" spans="1:15" x14ac:dyDescent="0.25">
      <c r="A42" s="137"/>
      <c r="B42" s="139"/>
      <c r="C42" s="135"/>
      <c r="D42" s="135"/>
      <c r="E42" s="168"/>
      <c r="F42" s="182"/>
      <c r="G42" s="182"/>
      <c r="H42" s="182"/>
      <c r="I42" s="174"/>
      <c r="J42" s="9">
        <v>5</v>
      </c>
      <c r="K42" s="12" t="s">
        <v>91</v>
      </c>
      <c r="L42" s="11"/>
      <c r="M42" s="11"/>
      <c r="N42" s="135"/>
      <c r="O42" s="132"/>
    </row>
    <row r="43" spans="1:15" ht="30.75" thickBot="1" x14ac:dyDescent="0.3">
      <c r="A43" s="137"/>
      <c r="B43" s="185"/>
      <c r="C43" s="179"/>
      <c r="D43" s="179"/>
      <c r="E43" s="184"/>
      <c r="F43" s="183"/>
      <c r="G43" s="183"/>
      <c r="H43" s="183"/>
      <c r="I43" s="178"/>
      <c r="J43" s="18">
        <v>6</v>
      </c>
      <c r="K43" s="19" t="s">
        <v>25</v>
      </c>
      <c r="L43" s="20" t="s">
        <v>261</v>
      </c>
      <c r="M43" s="20" t="s">
        <v>97</v>
      </c>
      <c r="N43" s="179"/>
      <c r="O43" s="180"/>
    </row>
    <row r="44" spans="1:15" x14ac:dyDescent="0.25">
      <c r="A44" s="137">
        <v>17</v>
      </c>
      <c r="B44" s="138" t="s">
        <v>9</v>
      </c>
      <c r="C44" s="134" t="s">
        <v>83</v>
      </c>
      <c r="D44" s="134">
        <f>COUNTIF($C$4:C44,C44)</f>
        <v>3</v>
      </c>
      <c r="E44" s="167" t="str">
        <f t="shared" ref="E44" si="0">_xlfn.TEXTJOIN("-",TRUE,B44,C44,TEXT(D44,"00"))</f>
        <v>TC-PU-03</v>
      </c>
      <c r="F44" s="170" t="s">
        <v>124</v>
      </c>
      <c r="G44" s="170" t="s">
        <v>125</v>
      </c>
      <c r="H44" s="170" t="s">
        <v>85</v>
      </c>
      <c r="I44" s="173" t="s">
        <v>96</v>
      </c>
      <c r="J44" s="16">
        <v>1</v>
      </c>
      <c r="K44" s="17" t="s">
        <v>94</v>
      </c>
      <c r="L44" s="21"/>
      <c r="M44" s="21"/>
      <c r="N44" s="134" t="s">
        <v>89</v>
      </c>
      <c r="O44" s="131" t="s">
        <v>22</v>
      </c>
    </row>
    <row r="45" spans="1:15" ht="60" x14ac:dyDescent="0.25">
      <c r="A45" s="137"/>
      <c r="B45" s="139"/>
      <c r="C45" s="135"/>
      <c r="D45" s="135"/>
      <c r="E45" s="168"/>
      <c r="F45" s="171"/>
      <c r="G45" s="171"/>
      <c r="H45" s="171"/>
      <c r="I45" s="174"/>
      <c r="J45" s="9">
        <v>2</v>
      </c>
      <c r="K45" s="12" t="s">
        <v>25</v>
      </c>
      <c r="L45" s="10" t="s">
        <v>98</v>
      </c>
      <c r="M45" s="10" t="s">
        <v>99</v>
      </c>
      <c r="N45" s="135"/>
      <c r="O45" s="132"/>
    </row>
    <row r="46" spans="1:15" x14ac:dyDescent="0.25">
      <c r="A46" s="137"/>
      <c r="B46" s="139"/>
      <c r="C46" s="135"/>
      <c r="D46" s="135"/>
      <c r="E46" s="168"/>
      <c r="F46" s="171"/>
      <c r="G46" s="171"/>
      <c r="H46" s="171"/>
      <c r="I46" s="174"/>
      <c r="J46" s="9">
        <v>3</v>
      </c>
      <c r="K46" s="10" t="s">
        <v>86</v>
      </c>
      <c r="L46" s="10"/>
      <c r="M46" s="10"/>
      <c r="N46" s="135"/>
      <c r="O46" s="132"/>
    </row>
    <row r="47" spans="1:15" ht="45" x14ac:dyDescent="0.25">
      <c r="A47" s="137"/>
      <c r="B47" s="139"/>
      <c r="C47" s="135"/>
      <c r="D47" s="135"/>
      <c r="E47" s="168"/>
      <c r="F47" s="171"/>
      <c r="G47" s="171"/>
      <c r="H47" s="171"/>
      <c r="I47" s="174"/>
      <c r="J47" s="9">
        <v>4</v>
      </c>
      <c r="K47" s="12" t="s">
        <v>25</v>
      </c>
      <c r="L47" s="10" t="s">
        <v>330</v>
      </c>
      <c r="M47" s="10" t="s">
        <v>331</v>
      </c>
      <c r="N47" s="135"/>
      <c r="O47" s="132"/>
    </row>
    <row r="48" spans="1:15" x14ac:dyDescent="0.25">
      <c r="A48" s="137"/>
      <c r="B48" s="139"/>
      <c r="C48" s="135"/>
      <c r="D48" s="135"/>
      <c r="E48" s="168"/>
      <c r="F48" s="171"/>
      <c r="G48" s="171"/>
      <c r="H48" s="171"/>
      <c r="I48" s="174"/>
      <c r="J48" s="9">
        <v>5</v>
      </c>
      <c r="K48" s="12" t="s">
        <v>91</v>
      </c>
      <c r="L48" s="11"/>
      <c r="M48" s="11"/>
      <c r="N48" s="135"/>
      <c r="O48" s="132"/>
    </row>
    <row r="49" spans="1:15" ht="30.75" thickBot="1" x14ac:dyDescent="0.3">
      <c r="A49" s="137"/>
      <c r="B49" s="185"/>
      <c r="C49" s="179"/>
      <c r="D49" s="179"/>
      <c r="E49" s="184"/>
      <c r="F49" s="177"/>
      <c r="G49" s="177"/>
      <c r="H49" s="177"/>
      <c r="I49" s="178"/>
      <c r="J49" s="18">
        <v>6</v>
      </c>
      <c r="K49" s="19" t="s">
        <v>25</v>
      </c>
      <c r="L49" s="20" t="s">
        <v>261</v>
      </c>
      <c r="M49" s="20" t="s">
        <v>97</v>
      </c>
      <c r="N49" s="179"/>
      <c r="O49" s="180"/>
    </row>
    <row r="50" spans="1:15" x14ac:dyDescent="0.25">
      <c r="A50" s="137">
        <v>18</v>
      </c>
      <c r="B50" s="138" t="s">
        <v>9</v>
      </c>
      <c r="C50" s="134" t="s">
        <v>83</v>
      </c>
      <c r="D50" s="134">
        <f>COUNTIF($C$4:C50,C50)</f>
        <v>4</v>
      </c>
      <c r="E50" s="167" t="str">
        <f t="shared" ref="E50" si="1">_xlfn.TEXTJOIN("-",TRUE,B50,C50,TEXT(D50,"00"))</f>
        <v>TC-PU-04</v>
      </c>
      <c r="F50" s="170" t="s">
        <v>100</v>
      </c>
      <c r="G50" s="170" t="s">
        <v>101</v>
      </c>
      <c r="H50" s="170" t="s">
        <v>85</v>
      </c>
      <c r="I50" s="173" t="s">
        <v>102</v>
      </c>
      <c r="J50" s="16">
        <v>1</v>
      </c>
      <c r="K50" s="17" t="s">
        <v>93</v>
      </c>
      <c r="L50" s="21"/>
      <c r="M50" s="21"/>
      <c r="N50" s="134" t="s">
        <v>89</v>
      </c>
      <c r="O50" s="131" t="s">
        <v>22</v>
      </c>
    </row>
    <row r="51" spans="1:15" ht="60" x14ac:dyDescent="0.25">
      <c r="A51" s="137"/>
      <c r="B51" s="139"/>
      <c r="C51" s="135"/>
      <c r="D51" s="135"/>
      <c r="E51" s="168"/>
      <c r="F51" s="171"/>
      <c r="G51" s="171"/>
      <c r="H51" s="171"/>
      <c r="I51" s="174"/>
      <c r="J51" s="9">
        <v>2</v>
      </c>
      <c r="K51" s="12" t="s">
        <v>25</v>
      </c>
      <c r="L51" s="10" t="s">
        <v>103</v>
      </c>
      <c r="M51" s="10" t="s">
        <v>104</v>
      </c>
      <c r="N51" s="135"/>
      <c r="O51" s="132"/>
    </row>
    <row r="52" spans="1:15" x14ac:dyDescent="0.25">
      <c r="A52" s="137"/>
      <c r="B52" s="139"/>
      <c r="C52" s="135"/>
      <c r="D52" s="135"/>
      <c r="E52" s="168"/>
      <c r="F52" s="171"/>
      <c r="G52" s="171"/>
      <c r="H52" s="171"/>
      <c r="I52" s="174"/>
      <c r="J52" s="9">
        <v>3</v>
      </c>
      <c r="K52" s="10" t="s">
        <v>86</v>
      </c>
      <c r="L52" s="10"/>
      <c r="M52" s="10"/>
      <c r="N52" s="135"/>
      <c r="O52" s="132"/>
    </row>
    <row r="53" spans="1:15" ht="45" x14ac:dyDescent="0.25">
      <c r="A53" s="137"/>
      <c r="B53" s="139"/>
      <c r="C53" s="135"/>
      <c r="D53" s="135"/>
      <c r="E53" s="168"/>
      <c r="F53" s="171"/>
      <c r="G53" s="171"/>
      <c r="H53" s="171"/>
      <c r="I53" s="174"/>
      <c r="J53" s="9">
        <v>4</v>
      </c>
      <c r="K53" s="12" t="s">
        <v>25</v>
      </c>
      <c r="L53" s="10" t="s">
        <v>330</v>
      </c>
      <c r="M53" s="10" t="s">
        <v>331</v>
      </c>
      <c r="N53" s="135"/>
      <c r="O53" s="132"/>
    </row>
    <row r="54" spans="1:15" x14ac:dyDescent="0.25">
      <c r="A54" s="137"/>
      <c r="B54" s="139"/>
      <c r="C54" s="135"/>
      <c r="D54" s="135"/>
      <c r="E54" s="168"/>
      <c r="F54" s="171"/>
      <c r="G54" s="171"/>
      <c r="H54" s="171"/>
      <c r="I54" s="174"/>
      <c r="J54" s="9">
        <v>5</v>
      </c>
      <c r="K54" s="12" t="s">
        <v>91</v>
      </c>
      <c r="L54" s="11"/>
      <c r="M54" s="11"/>
      <c r="N54" s="135"/>
      <c r="O54" s="132"/>
    </row>
    <row r="55" spans="1:15" ht="30.75" thickBot="1" x14ac:dyDescent="0.3">
      <c r="A55" s="137"/>
      <c r="B55" s="185"/>
      <c r="C55" s="179"/>
      <c r="D55" s="179"/>
      <c r="E55" s="184"/>
      <c r="F55" s="177"/>
      <c r="G55" s="177"/>
      <c r="H55" s="177"/>
      <c r="I55" s="178"/>
      <c r="J55" s="18">
        <v>6</v>
      </c>
      <c r="K55" s="19" t="s">
        <v>25</v>
      </c>
      <c r="L55" s="20" t="s">
        <v>261</v>
      </c>
      <c r="M55" s="20" t="s">
        <v>97</v>
      </c>
      <c r="N55" s="179"/>
      <c r="O55" s="180"/>
    </row>
    <row r="56" spans="1:15" x14ac:dyDescent="0.25">
      <c r="A56" s="137">
        <v>19</v>
      </c>
      <c r="B56" s="138" t="s">
        <v>9</v>
      </c>
      <c r="C56" s="134" t="s">
        <v>83</v>
      </c>
      <c r="D56" s="134">
        <f>COUNTIF($C$4:C56,C56)</f>
        <v>5</v>
      </c>
      <c r="E56" s="167" t="str">
        <f t="shared" ref="E56" si="2">_xlfn.TEXTJOIN("-",TRUE,B56,C56,TEXT(D56,"00"))</f>
        <v>TC-PU-05</v>
      </c>
      <c r="F56" s="170" t="s">
        <v>105</v>
      </c>
      <c r="G56" s="170" t="s">
        <v>119</v>
      </c>
      <c r="H56" s="170" t="s">
        <v>85</v>
      </c>
      <c r="I56" s="173" t="s">
        <v>106</v>
      </c>
      <c r="J56" s="16">
        <v>1</v>
      </c>
      <c r="K56" s="17" t="s">
        <v>95</v>
      </c>
      <c r="L56" s="17"/>
      <c r="M56" s="17"/>
      <c r="N56" s="134" t="s">
        <v>89</v>
      </c>
      <c r="O56" s="131" t="s">
        <v>22</v>
      </c>
    </row>
    <row r="57" spans="1:15" ht="45" x14ac:dyDescent="0.25">
      <c r="A57" s="137"/>
      <c r="B57" s="139"/>
      <c r="C57" s="135"/>
      <c r="D57" s="135"/>
      <c r="E57" s="168"/>
      <c r="F57" s="171"/>
      <c r="G57" s="171"/>
      <c r="H57" s="171"/>
      <c r="I57" s="174"/>
      <c r="J57" s="9">
        <v>2</v>
      </c>
      <c r="K57" s="12" t="s">
        <v>25</v>
      </c>
      <c r="L57" s="10" t="s">
        <v>87</v>
      </c>
      <c r="M57" s="10" t="s">
        <v>88</v>
      </c>
      <c r="N57" s="135"/>
      <c r="O57" s="132"/>
    </row>
    <row r="58" spans="1:15" x14ac:dyDescent="0.25">
      <c r="A58" s="137"/>
      <c r="B58" s="139"/>
      <c r="C58" s="135"/>
      <c r="D58" s="135"/>
      <c r="E58" s="168"/>
      <c r="F58" s="171"/>
      <c r="G58" s="171"/>
      <c r="H58" s="171"/>
      <c r="I58" s="174"/>
      <c r="J58" s="9">
        <v>3</v>
      </c>
      <c r="K58" s="12" t="s">
        <v>91</v>
      </c>
      <c r="L58" s="10"/>
      <c r="M58" s="10"/>
      <c r="N58" s="135"/>
      <c r="O58" s="132"/>
    </row>
    <row r="59" spans="1:15" ht="30.75" thickBot="1" x14ac:dyDescent="0.3">
      <c r="A59" s="137"/>
      <c r="B59" s="185"/>
      <c r="C59" s="179"/>
      <c r="D59" s="179"/>
      <c r="E59" s="184"/>
      <c r="F59" s="177"/>
      <c r="G59" s="177"/>
      <c r="H59" s="177"/>
      <c r="I59" s="178"/>
      <c r="J59" s="18">
        <v>4</v>
      </c>
      <c r="K59" s="19" t="s">
        <v>25</v>
      </c>
      <c r="L59" s="20" t="s">
        <v>261</v>
      </c>
      <c r="M59" s="20" t="s">
        <v>97</v>
      </c>
      <c r="N59" s="179"/>
      <c r="O59" s="180"/>
    </row>
    <row r="60" spans="1:15" x14ac:dyDescent="0.25">
      <c r="A60" s="137">
        <v>20</v>
      </c>
      <c r="B60" s="138" t="s">
        <v>9</v>
      </c>
      <c r="C60" s="134" t="s">
        <v>83</v>
      </c>
      <c r="D60" s="134">
        <f>COUNTIF($C$4:C60,C60)</f>
        <v>6</v>
      </c>
      <c r="E60" s="167" t="str">
        <f t="shared" ref="E60" si="3">_xlfn.TEXTJOIN("-",TRUE,B60,C60,TEXT(D60,"00"))</f>
        <v>TC-PU-06</v>
      </c>
      <c r="F60" s="170" t="s">
        <v>107</v>
      </c>
      <c r="G60" s="170" t="s">
        <v>121</v>
      </c>
      <c r="H60" s="170" t="s">
        <v>85</v>
      </c>
      <c r="I60" s="173" t="s">
        <v>126</v>
      </c>
      <c r="J60" s="16">
        <v>1</v>
      </c>
      <c r="K60" s="17" t="s">
        <v>86</v>
      </c>
      <c r="L60" s="17"/>
      <c r="M60" s="17"/>
      <c r="N60" s="134" t="s">
        <v>89</v>
      </c>
      <c r="O60" s="131" t="s">
        <v>22</v>
      </c>
    </row>
    <row r="61" spans="1:15" ht="45" x14ac:dyDescent="0.25">
      <c r="A61" s="137"/>
      <c r="B61" s="139"/>
      <c r="C61" s="135"/>
      <c r="D61" s="135"/>
      <c r="E61" s="168"/>
      <c r="F61" s="171"/>
      <c r="G61" s="171"/>
      <c r="H61" s="171"/>
      <c r="I61" s="174"/>
      <c r="J61" s="9">
        <v>2</v>
      </c>
      <c r="K61" s="12" t="s">
        <v>25</v>
      </c>
      <c r="L61" s="10" t="s">
        <v>87</v>
      </c>
      <c r="M61" s="10" t="s">
        <v>88</v>
      </c>
      <c r="N61" s="135"/>
      <c r="O61" s="132"/>
    </row>
    <row r="62" spans="1:15" ht="45" x14ac:dyDescent="0.25">
      <c r="A62" s="137"/>
      <c r="B62" s="139"/>
      <c r="C62" s="135"/>
      <c r="D62" s="135"/>
      <c r="E62" s="168"/>
      <c r="F62" s="171"/>
      <c r="G62" s="171"/>
      <c r="H62" s="171"/>
      <c r="I62" s="174"/>
      <c r="J62" s="9">
        <v>3</v>
      </c>
      <c r="K62" s="12" t="s">
        <v>122</v>
      </c>
      <c r="L62" s="11" t="s">
        <v>127</v>
      </c>
      <c r="M62" s="11" t="s">
        <v>128</v>
      </c>
      <c r="N62" s="135"/>
      <c r="O62" s="132"/>
    </row>
    <row r="63" spans="1:15" x14ac:dyDescent="0.25">
      <c r="A63" s="137"/>
      <c r="B63" s="139"/>
      <c r="C63" s="135"/>
      <c r="D63" s="135"/>
      <c r="E63" s="168"/>
      <c r="F63" s="171"/>
      <c r="G63" s="171"/>
      <c r="H63" s="171"/>
      <c r="I63" s="174"/>
      <c r="J63" s="9">
        <v>4</v>
      </c>
      <c r="K63" s="12" t="s">
        <v>91</v>
      </c>
      <c r="L63" s="11"/>
      <c r="M63" s="11"/>
      <c r="N63" s="135"/>
      <c r="O63" s="132"/>
    </row>
    <row r="64" spans="1:15" ht="30.75" thickBot="1" x14ac:dyDescent="0.3">
      <c r="A64" s="137"/>
      <c r="B64" s="185"/>
      <c r="C64" s="179"/>
      <c r="D64" s="179"/>
      <c r="E64" s="184"/>
      <c r="F64" s="177"/>
      <c r="G64" s="177"/>
      <c r="H64" s="177"/>
      <c r="I64" s="178"/>
      <c r="J64" s="18">
        <v>5</v>
      </c>
      <c r="K64" s="19" t="s">
        <v>25</v>
      </c>
      <c r="L64" s="20" t="s">
        <v>261</v>
      </c>
      <c r="M64" s="20" t="s">
        <v>97</v>
      </c>
      <c r="N64" s="179"/>
      <c r="O64" s="180"/>
    </row>
    <row r="65" spans="1:15" x14ac:dyDescent="0.25">
      <c r="A65" s="137">
        <v>21</v>
      </c>
      <c r="B65" s="138" t="s">
        <v>9</v>
      </c>
      <c r="C65" s="134" t="s">
        <v>83</v>
      </c>
      <c r="D65" s="134">
        <f>COUNTIF($C$4:C65,C65)</f>
        <v>7</v>
      </c>
      <c r="E65" s="167" t="str">
        <f t="shared" ref="E65" si="4">_xlfn.TEXTJOIN("-",TRUE,B65,C65,TEXT(D65,"00"))</f>
        <v>TC-PU-07</v>
      </c>
      <c r="F65" s="170" t="s">
        <v>112</v>
      </c>
      <c r="G65" s="170" t="s">
        <v>113</v>
      </c>
      <c r="H65" s="170" t="s">
        <v>120</v>
      </c>
      <c r="I65" s="173" t="s">
        <v>130</v>
      </c>
      <c r="J65" s="16">
        <v>1</v>
      </c>
      <c r="K65" s="17" t="s">
        <v>123</v>
      </c>
      <c r="L65" s="21"/>
      <c r="M65" s="21"/>
      <c r="N65" s="134" t="s">
        <v>89</v>
      </c>
      <c r="O65" s="131" t="s">
        <v>22</v>
      </c>
    </row>
    <row r="66" spans="1:15" ht="45" x14ac:dyDescent="0.25">
      <c r="A66" s="137"/>
      <c r="B66" s="139"/>
      <c r="C66" s="135"/>
      <c r="D66" s="135"/>
      <c r="E66" s="168"/>
      <c r="F66" s="171"/>
      <c r="G66" s="171"/>
      <c r="H66" s="171"/>
      <c r="I66" s="174"/>
      <c r="J66" s="9">
        <v>2</v>
      </c>
      <c r="K66" s="12" t="s">
        <v>25</v>
      </c>
      <c r="L66" s="11" t="s">
        <v>129</v>
      </c>
      <c r="M66" s="11" t="s">
        <v>129</v>
      </c>
      <c r="N66" s="135"/>
      <c r="O66" s="132"/>
    </row>
    <row r="67" spans="1:15" x14ac:dyDescent="0.25">
      <c r="A67" s="137"/>
      <c r="B67" s="139"/>
      <c r="C67" s="135"/>
      <c r="D67" s="135"/>
      <c r="E67" s="168"/>
      <c r="F67" s="171"/>
      <c r="G67" s="171"/>
      <c r="H67" s="171"/>
      <c r="I67" s="174"/>
      <c r="J67" s="9">
        <v>3</v>
      </c>
      <c r="K67" s="10" t="s">
        <v>117</v>
      </c>
      <c r="L67" s="11"/>
      <c r="M67" s="11"/>
      <c r="N67" s="135"/>
      <c r="O67" s="132"/>
    </row>
    <row r="68" spans="1:15" ht="45" x14ac:dyDescent="0.25">
      <c r="A68" s="137"/>
      <c r="B68" s="139"/>
      <c r="C68" s="135"/>
      <c r="D68" s="135"/>
      <c r="E68" s="168"/>
      <c r="F68" s="171"/>
      <c r="G68" s="171"/>
      <c r="H68" s="171"/>
      <c r="I68" s="174"/>
      <c r="J68" s="9">
        <v>4</v>
      </c>
      <c r="K68" s="12" t="s">
        <v>25</v>
      </c>
      <c r="L68" s="10" t="s">
        <v>114</v>
      </c>
      <c r="M68" s="10" t="s">
        <v>88</v>
      </c>
      <c r="N68" s="135"/>
      <c r="O68" s="132"/>
    </row>
    <row r="69" spans="1:15" x14ac:dyDescent="0.25">
      <c r="A69" s="137"/>
      <c r="B69" s="139"/>
      <c r="C69" s="135"/>
      <c r="D69" s="135"/>
      <c r="E69" s="168"/>
      <c r="F69" s="171"/>
      <c r="G69" s="171"/>
      <c r="H69" s="171"/>
      <c r="I69" s="174"/>
      <c r="J69" s="9">
        <v>5</v>
      </c>
      <c r="K69" s="12" t="s">
        <v>118</v>
      </c>
      <c r="L69" s="10"/>
      <c r="M69" s="10"/>
      <c r="N69" s="135"/>
      <c r="O69" s="132"/>
    </row>
    <row r="70" spans="1:15" ht="30.75" thickBot="1" x14ac:dyDescent="0.3">
      <c r="A70" s="137"/>
      <c r="B70" s="185"/>
      <c r="C70" s="179"/>
      <c r="D70" s="179"/>
      <c r="E70" s="184"/>
      <c r="F70" s="177"/>
      <c r="G70" s="177"/>
      <c r="H70" s="177"/>
      <c r="I70" s="178"/>
      <c r="J70" s="18">
        <v>6</v>
      </c>
      <c r="K70" s="19" t="s">
        <v>25</v>
      </c>
      <c r="L70" s="20" t="s">
        <v>263</v>
      </c>
      <c r="M70" s="20" t="s">
        <v>115</v>
      </c>
      <c r="N70" s="179"/>
      <c r="O70" s="180"/>
    </row>
    <row r="71" spans="1:15" ht="15" customHeight="1" x14ac:dyDescent="0.25">
      <c r="A71" s="137">
        <v>22</v>
      </c>
      <c r="B71" s="138" t="s">
        <v>9</v>
      </c>
      <c r="C71" s="134" t="s">
        <v>83</v>
      </c>
      <c r="D71" s="134">
        <f>COUNTIF($C$4:C71,C71)</f>
        <v>8</v>
      </c>
      <c r="E71" s="167" t="str">
        <f t="shared" ref="E71" si="5">_xlfn.TEXTJOIN("-",TRUE,B71,C71,TEXT(D71,"00"))</f>
        <v>TC-PU-08</v>
      </c>
      <c r="F71" s="186" t="s">
        <v>132</v>
      </c>
      <c r="G71" s="186" t="s">
        <v>133</v>
      </c>
      <c r="H71" s="186" t="s">
        <v>134</v>
      </c>
      <c r="I71" s="189" t="s">
        <v>135</v>
      </c>
      <c r="J71" s="16">
        <v>1</v>
      </c>
      <c r="K71" s="17" t="s">
        <v>86</v>
      </c>
      <c r="L71" s="21"/>
      <c r="M71" s="21"/>
      <c r="N71" s="134" t="s">
        <v>89</v>
      </c>
      <c r="O71" s="131" t="s">
        <v>22</v>
      </c>
    </row>
    <row r="72" spans="1:15" ht="30" x14ac:dyDescent="0.25">
      <c r="A72" s="137"/>
      <c r="B72" s="139"/>
      <c r="C72" s="135"/>
      <c r="D72" s="135"/>
      <c r="E72" s="168"/>
      <c r="F72" s="187"/>
      <c r="G72" s="187"/>
      <c r="H72" s="187"/>
      <c r="I72" s="190"/>
      <c r="J72" s="9">
        <v>2</v>
      </c>
      <c r="K72" s="12" t="s">
        <v>25</v>
      </c>
      <c r="L72" s="10" t="s">
        <v>261</v>
      </c>
      <c r="M72" s="10" t="s">
        <v>97</v>
      </c>
      <c r="N72" s="135"/>
      <c r="O72" s="132"/>
    </row>
    <row r="73" spans="1:15" x14ac:dyDescent="0.25">
      <c r="A73" s="137"/>
      <c r="B73" s="139"/>
      <c r="C73" s="135"/>
      <c r="D73" s="135"/>
      <c r="E73" s="168"/>
      <c r="F73" s="187"/>
      <c r="G73" s="187"/>
      <c r="H73" s="187"/>
      <c r="I73" s="190"/>
      <c r="J73" s="9">
        <v>5</v>
      </c>
      <c r="K73" s="12" t="s">
        <v>91</v>
      </c>
      <c r="L73" s="24"/>
      <c r="M73" s="11"/>
      <c r="N73" s="135"/>
      <c r="O73" s="132"/>
    </row>
    <row r="74" spans="1:15" ht="30.75" thickBot="1" x14ac:dyDescent="0.3">
      <c r="A74" s="137"/>
      <c r="B74" s="185"/>
      <c r="C74" s="179"/>
      <c r="D74" s="179"/>
      <c r="E74" s="184"/>
      <c r="F74" s="188"/>
      <c r="G74" s="188"/>
      <c r="H74" s="188"/>
      <c r="I74" s="191"/>
      <c r="J74" s="18">
        <v>6</v>
      </c>
      <c r="K74" s="19" t="s">
        <v>25</v>
      </c>
      <c r="L74" s="20" t="s">
        <v>261</v>
      </c>
      <c r="M74" s="20" t="s">
        <v>97</v>
      </c>
      <c r="N74" s="179"/>
      <c r="O74" s="180"/>
    </row>
    <row r="75" spans="1:15" ht="30" customHeight="1" x14ac:dyDescent="0.25">
      <c r="A75" s="137">
        <v>23</v>
      </c>
      <c r="B75" s="138" t="s">
        <v>9</v>
      </c>
      <c r="C75" s="134" t="s">
        <v>83</v>
      </c>
      <c r="D75" s="134">
        <f>COUNTIF($C$4:C75,C75)</f>
        <v>9</v>
      </c>
      <c r="E75" s="167" t="str">
        <f t="shared" ref="E75" si="6">_xlfn.TEXTJOIN("-",TRUE,B75,C75,TEXT(D75,"00"))</f>
        <v>TC-PU-09</v>
      </c>
      <c r="F75" s="195" t="s">
        <v>136</v>
      </c>
      <c r="G75" s="195" t="s">
        <v>137</v>
      </c>
      <c r="H75" s="195" t="s">
        <v>134</v>
      </c>
      <c r="I75" s="189" t="s">
        <v>144</v>
      </c>
      <c r="J75" s="25">
        <v>1</v>
      </c>
      <c r="K75" s="26" t="s">
        <v>138</v>
      </c>
      <c r="L75" s="26"/>
      <c r="M75" s="26"/>
      <c r="N75" s="134" t="s">
        <v>89</v>
      </c>
      <c r="O75" s="131" t="s">
        <v>22</v>
      </c>
    </row>
    <row r="76" spans="1:15" ht="30" x14ac:dyDescent="0.25">
      <c r="A76" s="137"/>
      <c r="B76" s="139"/>
      <c r="C76" s="135"/>
      <c r="D76" s="135"/>
      <c r="E76" s="168"/>
      <c r="F76" s="196"/>
      <c r="G76" s="196"/>
      <c r="H76" s="196"/>
      <c r="I76" s="190"/>
      <c r="J76" s="22">
        <v>2</v>
      </c>
      <c r="K76" s="23" t="s">
        <v>25</v>
      </c>
      <c r="L76" s="23" t="s">
        <v>139</v>
      </c>
      <c r="M76" s="23" t="s">
        <v>140</v>
      </c>
      <c r="N76" s="135"/>
      <c r="O76" s="132"/>
    </row>
    <row r="77" spans="1:15" x14ac:dyDescent="0.25">
      <c r="A77" s="137"/>
      <c r="B77" s="139"/>
      <c r="C77" s="135"/>
      <c r="D77" s="135"/>
      <c r="E77" s="168"/>
      <c r="F77" s="196"/>
      <c r="G77" s="196"/>
      <c r="H77" s="196"/>
      <c r="I77" s="190"/>
      <c r="J77" s="22">
        <v>3</v>
      </c>
      <c r="K77" s="23" t="s">
        <v>141</v>
      </c>
      <c r="L77" s="23"/>
      <c r="M77" s="23"/>
      <c r="N77" s="135"/>
      <c r="O77" s="132"/>
    </row>
    <row r="78" spans="1:15" ht="30.75" thickBot="1" x14ac:dyDescent="0.3">
      <c r="A78" s="137"/>
      <c r="B78" s="185"/>
      <c r="C78" s="179"/>
      <c r="D78" s="179"/>
      <c r="E78" s="184"/>
      <c r="F78" s="199"/>
      <c r="G78" s="199"/>
      <c r="H78" s="199"/>
      <c r="I78" s="191"/>
      <c r="J78" s="27">
        <v>4</v>
      </c>
      <c r="K78" s="28" t="s">
        <v>25</v>
      </c>
      <c r="L78" s="28" t="s">
        <v>142</v>
      </c>
      <c r="M78" s="28" t="s">
        <v>143</v>
      </c>
      <c r="N78" s="179"/>
      <c r="O78" s="180"/>
    </row>
    <row r="79" spans="1:15" ht="15" customHeight="1" x14ac:dyDescent="0.25">
      <c r="A79" s="137">
        <v>24</v>
      </c>
      <c r="B79" s="138" t="s">
        <v>9</v>
      </c>
      <c r="C79" s="134" t="s">
        <v>83</v>
      </c>
      <c r="D79" s="134">
        <f>COUNTIF($C$4:C79,C79)</f>
        <v>10</v>
      </c>
      <c r="E79" s="167" t="str">
        <f t="shared" ref="E79" si="7">_xlfn.TEXTJOIN("-",TRUE,B79,C79,TEXT(D79,"00"))</f>
        <v>TC-PU-10</v>
      </c>
      <c r="F79" s="195" t="s">
        <v>145</v>
      </c>
      <c r="G79" s="195" t="s">
        <v>146</v>
      </c>
      <c r="H79" s="195" t="s">
        <v>23</v>
      </c>
      <c r="I79" s="197" t="s">
        <v>147</v>
      </c>
      <c r="J79" s="25">
        <v>1</v>
      </c>
      <c r="K79" s="26" t="s">
        <v>148</v>
      </c>
      <c r="L79" s="26" t="s">
        <v>328</v>
      </c>
      <c r="M79" s="26" t="s">
        <v>329</v>
      </c>
      <c r="N79" s="134" t="s">
        <v>89</v>
      </c>
      <c r="O79" s="131" t="s">
        <v>22</v>
      </c>
    </row>
    <row r="80" spans="1:15" ht="30" x14ac:dyDescent="0.25">
      <c r="A80" s="137"/>
      <c r="B80" s="139"/>
      <c r="C80" s="135"/>
      <c r="D80" s="135"/>
      <c r="E80" s="168"/>
      <c r="F80" s="196"/>
      <c r="G80" s="196"/>
      <c r="H80" s="196"/>
      <c r="I80" s="198"/>
      <c r="J80" s="22">
        <v>2</v>
      </c>
      <c r="K80" s="23" t="s">
        <v>149</v>
      </c>
      <c r="L80" s="23" t="s">
        <v>326</v>
      </c>
      <c r="M80" s="23" t="s">
        <v>327</v>
      </c>
      <c r="N80" s="135"/>
      <c r="O80" s="132"/>
    </row>
    <row r="81" spans="1:15" ht="30" x14ac:dyDescent="0.25">
      <c r="A81" s="137"/>
      <c r="B81" s="140"/>
      <c r="C81" s="136"/>
      <c r="D81" s="136"/>
      <c r="E81" s="169"/>
      <c r="F81" s="196"/>
      <c r="G81" s="196"/>
      <c r="H81" s="196"/>
      <c r="I81" s="198"/>
      <c r="J81" s="60">
        <v>3</v>
      </c>
      <c r="K81" s="61" t="s">
        <v>323</v>
      </c>
      <c r="L81" s="23" t="s">
        <v>325</v>
      </c>
      <c r="M81" s="23" t="s">
        <v>324</v>
      </c>
      <c r="N81" s="136"/>
      <c r="O81" s="133"/>
    </row>
    <row r="82" spans="1:15" ht="30.75" thickBot="1" x14ac:dyDescent="0.3">
      <c r="A82" s="137"/>
      <c r="B82" s="140"/>
      <c r="C82" s="136"/>
      <c r="D82" s="136"/>
      <c r="E82" s="169"/>
      <c r="F82" s="196"/>
      <c r="G82" s="196"/>
      <c r="H82" s="196"/>
      <c r="I82" s="198"/>
      <c r="J82" s="60">
        <v>4</v>
      </c>
      <c r="K82" s="61" t="s">
        <v>150</v>
      </c>
      <c r="L82" s="61" t="s">
        <v>151</v>
      </c>
      <c r="M82" s="61" t="s">
        <v>152</v>
      </c>
      <c r="N82" s="136"/>
      <c r="O82" s="133"/>
    </row>
    <row r="83" spans="1:15" ht="30" customHeight="1" x14ac:dyDescent="0.25">
      <c r="A83" s="114">
        <v>25</v>
      </c>
      <c r="B83" s="116" t="s">
        <v>9</v>
      </c>
      <c r="C83" s="104" t="s">
        <v>180</v>
      </c>
      <c r="D83" s="104">
        <f>COUNTIF($C$4:C84,C83)</f>
        <v>1</v>
      </c>
      <c r="E83" s="119" t="str">
        <f>_xlfn.TEXTJOIN("-",TRUE,B83,C83,TEXT(D83,"00"))</f>
        <v>TC-ZU-01</v>
      </c>
      <c r="F83" s="104" t="s">
        <v>153</v>
      </c>
      <c r="G83" s="104" t="s">
        <v>154</v>
      </c>
      <c r="H83" s="104" t="s">
        <v>155</v>
      </c>
      <c r="I83" s="106">
        <v>2</v>
      </c>
      <c r="J83" s="64">
        <v>1</v>
      </c>
      <c r="K83" s="65" t="s">
        <v>30</v>
      </c>
      <c r="L83" s="65"/>
      <c r="M83" s="65"/>
      <c r="N83" s="104" t="s">
        <v>157</v>
      </c>
      <c r="O83" s="102" t="s">
        <v>22</v>
      </c>
    </row>
    <row r="84" spans="1:15" ht="30" customHeight="1" thickBot="1" x14ac:dyDescent="0.3">
      <c r="A84" s="122"/>
      <c r="B84" s="123"/>
      <c r="C84" s="124"/>
      <c r="D84" s="124"/>
      <c r="E84" s="125"/>
      <c r="F84" s="110"/>
      <c r="G84" s="110"/>
      <c r="H84" s="110"/>
      <c r="I84" s="121"/>
      <c r="J84" s="66">
        <v>2</v>
      </c>
      <c r="K84" s="67" t="s">
        <v>158</v>
      </c>
      <c r="L84" s="67" t="s">
        <v>159</v>
      </c>
      <c r="M84" s="67" t="s">
        <v>160</v>
      </c>
      <c r="N84" s="113"/>
      <c r="O84" s="103"/>
    </row>
    <row r="85" spans="1:15" ht="30" customHeight="1" x14ac:dyDescent="0.25">
      <c r="A85" s="114">
        <v>26</v>
      </c>
      <c r="B85" s="116" t="s">
        <v>9</v>
      </c>
      <c r="C85" s="104" t="s">
        <v>180</v>
      </c>
      <c r="D85" s="104">
        <f>COUNTIF($C$4:C86,C85)</f>
        <v>2</v>
      </c>
      <c r="E85" s="119" t="str">
        <f t="shared" ref="E85" si="8">_xlfn.TEXTJOIN("-",TRUE,B85,C85,TEXT(D85,"00"))</f>
        <v>TC-ZU-02</v>
      </c>
      <c r="F85" s="104" t="s">
        <v>161</v>
      </c>
      <c r="G85" s="104" t="s">
        <v>162</v>
      </c>
      <c r="H85" s="104" t="s">
        <v>163</v>
      </c>
      <c r="I85" s="111" t="s">
        <v>156</v>
      </c>
      <c r="J85" s="64">
        <v>1</v>
      </c>
      <c r="K85" s="65" t="s">
        <v>30</v>
      </c>
      <c r="L85" s="65"/>
      <c r="M85" s="65"/>
      <c r="N85" s="104" t="s">
        <v>157</v>
      </c>
      <c r="O85" s="102" t="s">
        <v>22</v>
      </c>
    </row>
    <row r="86" spans="1:15" ht="30" customHeight="1" thickBot="1" x14ac:dyDescent="0.3">
      <c r="A86" s="122"/>
      <c r="B86" s="123"/>
      <c r="C86" s="124"/>
      <c r="D86" s="124"/>
      <c r="E86" s="125"/>
      <c r="F86" s="110"/>
      <c r="G86" s="110"/>
      <c r="H86" s="110"/>
      <c r="I86" s="112"/>
      <c r="J86" s="66">
        <v>2</v>
      </c>
      <c r="K86" s="67" t="s">
        <v>158</v>
      </c>
      <c r="L86" s="67" t="s">
        <v>164</v>
      </c>
      <c r="M86" s="67" t="s">
        <v>165</v>
      </c>
      <c r="N86" s="113"/>
      <c r="O86" s="103"/>
    </row>
    <row r="87" spans="1:15" ht="30" customHeight="1" x14ac:dyDescent="0.25">
      <c r="A87" s="114">
        <v>27</v>
      </c>
      <c r="B87" s="116" t="s">
        <v>9</v>
      </c>
      <c r="C87" s="104" t="s">
        <v>180</v>
      </c>
      <c r="D87" s="104">
        <f>COUNTIF($C$4:C88,C87)</f>
        <v>3</v>
      </c>
      <c r="E87" s="119" t="str">
        <f t="shared" ref="E87" si="9">_xlfn.TEXTJOIN("-",TRUE,B87,C87,TEXT(D87,"00"))</f>
        <v>TC-ZU-03</v>
      </c>
      <c r="F87" s="104" t="s">
        <v>166</v>
      </c>
      <c r="G87" s="104" t="s">
        <v>167</v>
      </c>
      <c r="H87" s="104" t="s">
        <v>182</v>
      </c>
      <c r="I87" s="111" t="s">
        <v>156</v>
      </c>
      <c r="J87" s="64">
        <v>1</v>
      </c>
      <c r="K87" s="65" t="s">
        <v>30</v>
      </c>
      <c r="L87" s="65"/>
      <c r="M87" s="65"/>
      <c r="N87" s="104" t="s">
        <v>157</v>
      </c>
      <c r="O87" s="102" t="s">
        <v>22</v>
      </c>
    </row>
    <row r="88" spans="1:15" ht="75.75" thickBot="1" x14ac:dyDescent="0.3">
      <c r="A88" s="122"/>
      <c r="B88" s="123"/>
      <c r="C88" s="124"/>
      <c r="D88" s="124"/>
      <c r="E88" s="125"/>
      <c r="F88" s="110"/>
      <c r="G88" s="110"/>
      <c r="H88" s="110"/>
      <c r="I88" s="112"/>
      <c r="J88" s="66">
        <v>2</v>
      </c>
      <c r="K88" s="67" t="s">
        <v>158</v>
      </c>
      <c r="L88" s="67" t="s">
        <v>168</v>
      </c>
      <c r="M88" s="67" t="s">
        <v>181</v>
      </c>
      <c r="N88" s="113"/>
      <c r="O88" s="103"/>
    </row>
    <row r="89" spans="1:15" ht="30" customHeight="1" x14ac:dyDescent="0.25">
      <c r="A89" s="114">
        <v>28</v>
      </c>
      <c r="B89" s="116" t="s">
        <v>9</v>
      </c>
      <c r="C89" s="104" t="s">
        <v>180</v>
      </c>
      <c r="D89" s="104">
        <f>COUNTIF($C$4:C90,C89)</f>
        <v>4</v>
      </c>
      <c r="E89" s="119" t="str">
        <f t="shared" ref="E89" si="10">_xlfn.TEXTJOIN("-",TRUE,B89,C89,TEXT(D89,"00"))</f>
        <v>TC-ZU-04</v>
      </c>
      <c r="F89" s="104" t="s">
        <v>169</v>
      </c>
      <c r="G89" s="104" t="s">
        <v>170</v>
      </c>
      <c r="H89" s="104" t="s">
        <v>171</v>
      </c>
      <c r="I89" s="111" t="s">
        <v>156</v>
      </c>
      <c r="J89" s="64">
        <v>1</v>
      </c>
      <c r="K89" s="65" t="s">
        <v>30</v>
      </c>
      <c r="L89" s="65"/>
      <c r="M89" s="65"/>
      <c r="N89" s="104" t="s">
        <v>157</v>
      </c>
      <c r="O89" s="102" t="s">
        <v>22</v>
      </c>
    </row>
    <row r="90" spans="1:15" ht="30" customHeight="1" thickBot="1" x14ac:dyDescent="0.3">
      <c r="A90" s="122"/>
      <c r="B90" s="123"/>
      <c r="C90" s="124"/>
      <c r="D90" s="124"/>
      <c r="E90" s="125"/>
      <c r="F90" s="110"/>
      <c r="G90" s="110"/>
      <c r="H90" s="110"/>
      <c r="I90" s="112"/>
      <c r="J90" s="66">
        <v>2</v>
      </c>
      <c r="K90" s="67" t="s">
        <v>158</v>
      </c>
      <c r="L90" s="67" t="s">
        <v>172</v>
      </c>
      <c r="M90" s="67" t="s">
        <v>320</v>
      </c>
      <c r="N90" s="113"/>
      <c r="O90" s="103"/>
    </row>
    <row r="91" spans="1:15" ht="30" customHeight="1" x14ac:dyDescent="0.25">
      <c r="A91" s="114">
        <v>29</v>
      </c>
      <c r="B91" s="116" t="s">
        <v>9</v>
      </c>
      <c r="C91" s="104" t="s">
        <v>180</v>
      </c>
      <c r="D91" s="104">
        <f>COUNTIF($C$4:C92,C91)</f>
        <v>5</v>
      </c>
      <c r="E91" s="119" t="str">
        <f t="shared" ref="E91" si="11">_xlfn.TEXTJOIN("-",TRUE,B91,C91,TEXT(D91,"00"))</f>
        <v>TC-ZU-05</v>
      </c>
      <c r="F91" s="104" t="s">
        <v>173</v>
      </c>
      <c r="G91" s="104" t="s">
        <v>174</v>
      </c>
      <c r="H91" s="104" t="s">
        <v>175</v>
      </c>
      <c r="I91" s="106" t="s">
        <v>176</v>
      </c>
      <c r="J91" s="64">
        <v>1</v>
      </c>
      <c r="K91" s="65" t="s">
        <v>177</v>
      </c>
      <c r="L91" s="65" t="s">
        <v>178</v>
      </c>
      <c r="M91" s="65" t="s">
        <v>319</v>
      </c>
      <c r="N91" s="104" t="s">
        <v>157</v>
      </c>
      <c r="O91" s="102" t="s">
        <v>22</v>
      </c>
    </row>
    <row r="92" spans="1:15" ht="30" customHeight="1" thickBot="1" x14ac:dyDescent="0.3">
      <c r="A92" s="115"/>
      <c r="B92" s="117"/>
      <c r="C92" s="118"/>
      <c r="D92" s="118"/>
      <c r="E92" s="120"/>
      <c r="F92" s="105"/>
      <c r="G92" s="105"/>
      <c r="H92" s="105"/>
      <c r="I92" s="107"/>
      <c r="J92" s="62">
        <v>2</v>
      </c>
      <c r="K92" s="63" t="s">
        <v>179</v>
      </c>
      <c r="L92" s="63" t="s">
        <v>178</v>
      </c>
      <c r="M92" s="63" t="s">
        <v>319</v>
      </c>
      <c r="N92" s="108"/>
      <c r="O92" s="109"/>
    </row>
    <row r="93" spans="1:15" x14ac:dyDescent="0.25">
      <c r="A93" s="94">
        <v>30</v>
      </c>
      <c r="B93" s="96" t="s">
        <v>9</v>
      </c>
      <c r="C93" s="88" t="s">
        <v>227</v>
      </c>
      <c r="D93" s="88">
        <f>COUNTIF($C$8:C96,C93)</f>
        <v>1</v>
      </c>
      <c r="E93" s="91" t="str">
        <f>_xlfn.TEXTJOIN("-",TRUE,B93,C93,TEXT(D93,"00"))</f>
        <v>TC-OU-01</v>
      </c>
      <c r="F93" s="88" t="s">
        <v>183</v>
      </c>
      <c r="G93" s="88" t="s">
        <v>184</v>
      </c>
      <c r="H93" s="88" t="s">
        <v>185</v>
      </c>
      <c r="I93" s="99" t="s">
        <v>186</v>
      </c>
      <c r="J93" s="70">
        <v>1</v>
      </c>
      <c r="K93" s="72" t="s">
        <v>32</v>
      </c>
      <c r="L93" s="72"/>
      <c r="M93" s="72"/>
      <c r="N93" s="88" t="s">
        <v>322</v>
      </c>
      <c r="O93" s="210" t="s">
        <v>22</v>
      </c>
    </row>
    <row r="94" spans="1:15" ht="30" x14ac:dyDescent="0.25">
      <c r="A94" s="95"/>
      <c r="B94" s="97"/>
      <c r="C94" s="89"/>
      <c r="D94" s="89"/>
      <c r="E94" s="92"/>
      <c r="F94" s="89"/>
      <c r="G94" s="89"/>
      <c r="H94" s="89"/>
      <c r="I94" s="100"/>
      <c r="J94" s="59">
        <v>2</v>
      </c>
      <c r="K94" s="58" t="s">
        <v>158</v>
      </c>
      <c r="L94" s="58" t="s">
        <v>187</v>
      </c>
      <c r="M94" s="58" t="s">
        <v>318</v>
      </c>
      <c r="N94" s="203"/>
      <c r="O94" s="211"/>
    </row>
    <row r="95" spans="1:15" x14ac:dyDescent="0.25">
      <c r="A95" s="95"/>
      <c r="B95" s="97"/>
      <c r="C95" s="89"/>
      <c r="D95" s="89"/>
      <c r="E95" s="92"/>
      <c r="F95" s="89"/>
      <c r="G95" s="89"/>
      <c r="H95" s="89"/>
      <c r="I95" s="100"/>
      <c r="J95" s="59">
        <v>3</v>
      </c>
      <c r="K95" s="58" t="s">
        <v>189</v>
      </c>
      <c r="L95" s="58"/>
      <c r="M95" s="58"/>
      <c r="N95" s="203"/>
      <c r="O95" s="211"/>
    </row>
    <row r="96" spans="1:15" ht="30.75" thickBot="1" x14ac:dyDescent="0.3">
      <c r="A96" s="95"/>
      <c r="B96" s="98"/>
      <c r="C96" s="90"/>
      <c r="D96" s="90"/>
      <c r="E96" s="93"/>
      <c r="F96" s="90"/>
      <c r="G96" s="90"/>
      <c r="H96" s="90"/>
      <c r="I96" s="101"/>
      <c r="J96" s="71">
        <v>4</v>
      </c>
      <c r="K96" s="73" t="s">
        <v>158</v>
      </c>
      <c r="L96" s="73" t="s">
        <v>264</v>
      </c>
      <c r="M96" s="73" t="s">
        <v>265</v>
      </c>
      <c r="N96" s="204"/>
      <c r="O96" s="212"/>
    </row>
    <row r="97" spans="1:15" x14ac:dyDescent="0.25">
      <c r="A97" s="94">
        <v>31</v>
      </c>
      <c r="B97" s="96" t="s">
        <v>9</v>
      </c>
      <c r="C97" s="88" t="s">
        <v>227</v>
      </c>
      <c r="D97" s="88">
        <f>COUNTIF($C$10:C98,C97)</f>
        <v>2</v>
      </c>
      <c r="E97" s="91" t="str">
        <f>_xlfn.TEXTJOIN("-",TRUE,B97,C97,TEXT(D97,"00"))</f>
        <v>TC-OU-02</v>
      </c>
      <c r="F97" s="88" t="s">
        <v>190</v>
      </c>
      <c r="G97" s="88" t="s">
        <v>191</v>
      </c>
      <c r="H97" s="88" t="s">
        <v>155</v>
      </c>
      <c r="I97" s="99" t="s">
        <v>192</v>
      </c>
      <c r="J97" s="70">
        <v>1</v>
      </c>
      <c r="K97" s="72" t="s">
        <v>32</v>
      </c>
      <c r="L97" s="72"/>
      <c r="M97" s="72"/>
      <c r="N97" s="88" t="s">
        <v>322</v>
      </c>
      <c r="O97" s="210" t="s">
        <v>22</v>
      </c>
    </row>
    <row r="98" spans="1:15" ht="30.75" thickBot="1" x14ac:dyDescent="0.3">
      <c r="A98" s="95"/>
      <c r="B98" s="98"/>
      <c r="C98" s="90"/>
      <c r="D98" s="90"/>
      <c r="E98" s="93"/>
      <c r="F98" s="90"/>
      <c r="G98" s="90"/>
      <c r="H98" s="90"/>
      <c r="I98" s="101"/>
      <c r="J98" s="71">
        <v>2</v>
      </c>
      <c r="K98" s="73" t="s">
        <v>158</v>
      </c>
      <c r="L98" s="73" t="s">
        <v>193</v>
      </c>
      <c r="M98" s="73" t="s">
        <v>194</v>
      </c>
      <c r="N98" s="204"/>
      <c r="O98" s="212"/>
    </row>
    <row r="99" spans="1:15" ht="30" x14ac:dyDescent="0.25">
      <c r="A99" s="94">
        <v>32</v>
      </c>
      <c r="B99" s="96" t="s">
        <v>9</v>
      </c>
      <c r="C99" s="88" t="s">
        <v>227</v>
      </c>
      <c r="D99" s="88">
        <f>COUNTIF($C$13:C101,C99)</f>
        <v>3</v>
      </c>
      <c r="E99" s="91" t="str">
        <f>_xlfn.TEXTJOIN("-",TRUE,B99,C99,TEXT(D99,"00"))</f>
        <v>TC-OU-03</v>
      </c>
      <c r="F99" s="88" t="s">
        <v>195</v>
      </c>
      <c r="G99" s="88" t="s">
        <v>196</v>
      </c>
      <c r="H99" s="88" t="s">
        <v>185</v>
      </c>
      <c r="I99" s="99" t="s">
        <v>197</v>
      </c>
      <c r="J99" s="70">
        <v>1</v>
      </c>
      <c r="K99" s="72" t="s">
        <v>198</v>
      </c>
      <c r="L99" s="72" t="s">
        <v>199</v>
      </c>
      <c r="M99" s="72" t="s">
        <v>188</v>
      </c>
      <c r="N99" s="88" t="s">
        <v>322</v>
      </c>
      <c r="O99" s="210" t="s">
        <v>22</v>
      </c>
    </row>
    <row r="100" spans="1:15" ht="45" x14ac:dyDescent="0.25">
      <c r="A100" s="95"/>
      <c r="B100" s="97"/>
      <c r="C100" s="89"/>
      <c r="D100" s="89"/>
      <c r="E100" s="92"/>
      <c r="F100" s="89"/>
      <c r="G100" s="89"/>
      <c r="H100" s="89"/>
      <c r="I100" s="100"/>
      <c r="J100" s="59">
        <v>2</v>
      </c>
      <c r="K100" s="58" t="s">
        <v>200</v>
      </c>
      <c r="L100" s="58" t="s">
        <v>201</v>
      </c>
      <c r="M100" s="58" t="s">
        <v>202</v>
      </c>
      <c r="N100" s="203"/>
      <c r="O100" s="211"/>
    </row>
    <row r="101" spans="1:15" ht="30.75" thickBot="1" x14ac:dyDescent="0.3">
      <c r="A101" s="95"/>
      <c r="B101" s="98"/>
      <c r="C101" s="90"/>
      <c r="D101" s="90"/>
      <c r="E101" s="93"/>
      <c r="F101" s="90"/>
      <c r="G101" s="90"/>
      <c r="H101" s="90"/>
      <c r="I101" s="101"/>
      <c r="J101" s="71">
        <v>3</v>
      </c>
      <c r="K101" s="73" t="s">
        <v>203</v>
      </c>
      <c r="L101" s="73" t="s">
        <v>264</v>
      </c>
      <c r="M101" s="73" t="s">
        <v>265</v>
      </c>
      <c r="N101" s="204"/>
      <c r="O101" s="212"/>
    </row>
    <row r="102" spans="1:15" ht="30" x14ac:dyDescent="0.25">
      <c r="A102" s="94">
        <v>33</v>
      </c>
      <c r="B102" s="96" t="s">
        <v>9</v>
      </c>
      <c r="C102" s="88" t="s">
        <v>227</v>
      </c>
      <c r="D102" s="88">
        <f>COUNTIF($C$13:C104,C102)</f>
        <v>4</v>
      </c>
      <c r="E102" s="91" t="str">
        <f t="shared" ref="E102" si="12">_xlfn.TEXTJOIN("-",TRUE,B102,C102,TEXT(D102,"00"))</f>
        <v>TC-OU-04</v>
      </c>
      <c r="F102" s="88" t="s">
        <v>205</v>
      </c>
      <c r="G102" s="88" t="s">
        <v>206</v>
      </c>
      <c r="H102" s="88" t="s">
        <v>185</v>
      </c>
      <c r="I102" s="99" t="s">
        <v>207</v>
      </c>
      <c r="J102" s="70">
        <v>1</v>
      </c>
      <c r="K102" s="72" t="s">
        <v>198</v>
      </c>
      <c r="L102" s="72" t="s">
        <v>199</v>
      </c>
      <c r="M102" s="72" t="s">
        <v>188</v>
      </c>
      <c r="N102" s="88" t="s">
        <v>322</v>
      </c>
      <c r="O102" s="210" t="s">
        <v>22</v>
      </c>
    </row>
    <row r="103" spans="1:15" ht="30" x14ac:dyDescent="0.25">
      <c r="A103" s="95"/>
      <c r="B103" s="97"/>
      <c r="C103" s="89"/>
      <c r="D103" s="89"/>
      <c r="E103" s="92"/>
      <c r="F103" s="89"/>
      <c r="G103" s="89"/>
      <c r="H103" s="89"/>
      <c r="I103" s="100"/>
      <c r="J103" s="59">
        <v>2</v>
      </c>
      <c r="K103" s="58" t="s">
        <v>208</v>
      </c>
      <c r="L103" s="58" t="s">
        <v>209</v>
      </c>
      <c r="M103" s="58" t="s">
        <v>210</v>
      </c>
      <c r="N103" s="203"/>
      <c r="O103" s="211"/>
    </row>
    <row r="104" spans="1:15" ht="30.75" thickBot="1" x14ac:dyDescent="0.3">
      <c r="A104" s="95"/>
      <c r="B104" s="98"/>
      <c r="C104" s="90"/>
      <c r="D104" s="90"/>
      <c r="E104" s="93"/>
      <c r="F104" s="90"/>
      <c r="G104" s="90"/>
      <c r="H104" s="90"/>
      <c r="I104" s="101"/>
      <c r="J104" s="71">
        <v>3</v>
      </c>
      <c r="K104" s="73" t="s">
        <v>203</v>
      </c>
      <c r="L104" s="73" t="s">
        <v>264</v>
      </c>
      <c r="M104" s="73" t="s">
        <v>265</v>
      </c>
      <c r="N104" s="204"/>
      <c r="O104" s="212"/>
    </row>
    <row r="105" spans="1:15" ht="30" x14ac:dyDescent="0.25">
      <c r="A105" s="94">
        <v>34</v>
      </c>
      <c r="B105" s="96" t="s">
        <v>9</v>
      </c>
      <c r="C105" s="88" t="s">
        <v>227</v>
      </c>
      <c r="D105" s="88">
        <f>COUNTIF($C$13:C107,C105)</f>
        <v>5</v>
      </c>
      <c r="E105" s="91" t="str">
        <f t="shared" ref="E105" si="13">_xlfn.TEXTJOIN("-",TRUE,B105,C105,TEXT(D105,"00"))</f>
        <v>TC-OU-05</v>
      </c>
      <c r="F105" s="88" t="s">
        <v>211</v>
      </c>
      <c r="G105" s="88" t="s">
        <v>212</v>
      </c>
      <c r="H105" s="88" t="s">
        <v>185</v>
      </c>
      <c r="I105" s="99" t="s">
        <v>213</v>
      </c>
      <c r="J105" s="70">
        <v>1</v>
      </c>
      <c r="K105" s="72" t="s">
        <v>198</v>
      </c>
      <c r="L105" s="72" t="s">
        <v>199</v>
      </c>
      <c r="M105" s="72" t="s">
        <v>188</v>
      </c>
      <c r="N105" s="88" t="s">
        <v>322</v>
      </c>
      <c r="O105" s="210" t="s">
        <v>22</v>
      </c>
    </row>
    <row r="106" spans="1:15" ht="30" x14ac:dyDescent="0.25">
      <c r="A106" s="95"/>
      <c r="B106" s="97"/>
      <c r="C106" s="89"/>
      <c r="D106" s="89"/>
      <c r="E106" s="92"/>
      <c r="F106" s="89"/>
      <c r="G106" s="89"/>
      <c r="H106" s="89"/>
      <c r="I106" s="100"/>
      <c r="J106" s="59">
        <v>2</v>
      </c>
      <c r="K106" s="58" t="s">
        <v>214</v>
      </c>
      <c r="L106" s="58" t="s">
        <v>209</v>
      </c>
      <c r="M106" s="58" t="s">
        <v>210</v>
      </c>
      <c r="N106" s="203"/>
      <c r="O106" s="211"/>
    </row>
    <row r="107" spans="1:15" ht="30.75" thickBot="1" x14ac:dyDescent="0.3">
      <c r="A107" s="95"/>
      <c r="B107" s="98"/>
      <c r="C107" s="90"/>
      <c r="D107" s="90"/>
      <c r="E107" s="93"/>
      <c r="F107" s="90"/>
      <c r="G107" s="90"/>
      <c r="H107" s="90"/>
      <c r="I107" s="101"/>
      <c r="J107" s="71">
        <v>3</v>
      </c>
      <c r="K107" s="73" t="s">
        <v>203</v>
      </c>
      <c r="L107" s="73" t="s">
        <v>264</v>
      </c>
      <c r="M107" s="73" t="s">
        <v>315</v>
      </c>
      <c r="N107" s="204"/>
      <c r="O107" s="212"/>
    </row>
    <row r="108" spans="1:15" ht="30" x14ac:dyDescent="0.25">
      <c r="A108" s="94">
        <v>35</v>
      </c>
      <c r="B108" s="96" t="s">
        <v>9</v>
      </c>
      <c r="C108" s="88" t="s">
        <v>227</v>
      </c>
      <c r="D108" s="88">
        <f>COUNTIF($C$13:C110,C108)</f>
        <v>6</v>
      </c>
      <c r="E108" s="91" t="str">
        <f t="shared" ref="E108" si="14">_xlfn.TEXTJOIN("-",TRUE,B108,C108,TEXT(D108,"00"))</f>
        <v>TC-OU-06</v>
      </c>
      <c r="F108" s="88" t="s">
        <v>215</v>
      </c>
      <c r="G108" s="88" t="s">
        <v>216</v>
      </c>
      <c r="H108" s="88" t="s">
        <v>217</v>
      </c>
      <c r="I108" s="99" t="s">
        <v>218</v>
      </c>
      <c r="J108" s="70">
        <v>1</v>
      </c>
      <c r="K108" s="72" t="s">
        <v>198</v>
      </c>
      <c r="L108" s="72" t="s">
        <v>219</v>
      </c>
      <c r="M108" s="72" t="s">
        <v>317</v>
      </c>
      <c r="N108" s="88" t="s">
        <v>322</v>
      </c>
      <c r="O108" s="210" t="s">
        <v>22</v>
      </c>
    </row>
    <row r="109" spans="1:15" ht="30" x14ac:dyDescent="0.25">
      <c r="A109" s="95"/>
      <c r="B109" s="97"/>
      <c r="C109" s="89"/>
      <c r="D109" s="89"/>
      <c r="E109" s="92"/>
      <c r="F109" s="89"/>
      <c r="G109" s="89"/>
      <c r="H109" s="89"/>
      <c r="I109" s="100"/>
      <c r="J109" s="59">
        <v>2</v>
      </c>
      <c r="K109" s="58" t="s">
        <v>220</v>
      </c>
      <c r="L109" s="58" t="s">
        <v>266</v>
      </c>
      <c r="M109" s="58" t="s">
        <v>267</v>
      </c>
      <c r="N109" s="203"/>
      <c r="O109" s="211"/>
    </row>
    <row r="110" spans="1:15" ht="30.75" thickBot="1" x14ac:dyDescent="0.3">
      <c r="A110" s="95"/>
      <c r="B110" s="98"/>
      <c r="C110" s="90"/>
      <c r="D110" s="90"/>
      <c r="E110" s="93"/>
      <c r="F110" s="90"/>
      <c r="G110" s="90"/>
      <c r="H110" s="90"/>
      <c r="I110" s="101"/>
      <c r="J110" s="71">
        <v>3</v>
      </c>
      <c r="K110" s="73" t="s">
        <v>221</v>
      </c>
      <c r="L110" s="73" t="s">
        <v>222</v>
      </c>
      <c r="M110" s="73" t="s">
        <v>316</v>
      </c>
      <c r="N110" s="204"/>
      <c r="O110" s="212"/>
    </row>
    <row r="111" spans="1:15" ht="30" x14ac:dyDescent="0.25">
      <c r="A111" s="94">
        <v>36</v>
      </c>
      <c r="B111" s="96" t="s">
        <v>9</v>
      </c>
      <c r="C111" s="88" t="s">
        <v>227</v>
      </c>
      <c r="D111" s="88">
        <f>COUNTIF($C$13:C113,C111)</f>
        <v>7</v>
      </c>
      <c r="E111" s="91" t="str">
        <f t="shared" ref="E111" si="15">_xlfn.TEXTJOIN("-",TRUE,B111,C111,TEXT(D111,"00"))</f>
        <v>TC-OU-07</v>
      </c>
      <c r="F111" s="88" t="s">
        <v>223</v>
      </c>
      <c r="G111" s="88" t="s">
        <v>224</v>
      </c>
      <c r="H111" s="88" t="s">
        <v>185</v>
      </c>
      <c r="I111" s="99" t="s">
        <v>225</v>
      </c>
      <c r="J111" s="70">
        <v>1</v>
      </c>
      <c r="K111" s="72" t="s">
        <v>198</v>
      </c>
      <c r="L111" s="72" t="s">
        <v>199</v>
      </c>
      <c r="M111" s="72" t="s">
        <v>188</v>
      </c>
      <c r="N111" s="88" t="s">
        <v>322</v>
      </c>
      <c r="O111" s="210" t="s">
        <v>22</v>
      </c>
    </row>
    <row r="112" spans="1:15" ht="30" x14ac:dyDescent="0.25">
      <c r="A112" s="95"/>
      <c r="B112" s="97"/>
      <c r="C112" s="89"/>
      <c r="D112" s="89"/>
      <c r="E112" s="92"/>
      <c r="F112" s="89"/>
      <c r="G112" s="89"/>
      <c r="H112" s="89"/>
      <c r="I112" s="100"/>
      <c r="J112" s="59">
        <v>2</v>
      </c>
      <c r="K112" s="58" t="s">
        <v>226</v>
      </c>
      <c r="L112" s="58" t="s">
        <v>209</v>
      </c>
      <c r="M112" s="58" t="s">
        <v>210</v>
      </c>
      <c r="N112" s="203"/>
      <c r="O112" s="211"/>
    </row>
    <row r="113" spans="1:15" ht="30.75" thickBot="1" x14ac:dyDescent="0.3">
      <c r="A113" s="95"/>
      <c r="B113" s="98"/>
      <c r="C113" s="90"/>
      <c r="D113" s="90"/>
      <c r="E113" s="93"/>
      <c r="F113" s="90"/>
      <c r="G113" s="90"/>
      <c r="H113" s="90"/>
      <c r="I113" s="101"/>
      <c r="J113" s="71">
        <v>3</v>
      </c>
      <c r="K113" s="73" t="s">
        <v>203</v>
      </c>
      <c r="L113" s="73" t="s">
        <v>264</v>
      </c>
      <c r="M113" s="73" t="s">
        <v>315</v>
      </c>
      <c r="N113" s="204"/>
      <c r="O113" s="212"/>
    </row>
    <row r="114" spans="1:15" ht="30" x14ac:dyDescent="0.25">
      <c r="A114" s="94">
        <v>37</v>
      </c>
      <c r="B114" s="96" t="s">
        <v>9</v>
      </c>
      <c r="C114" s="88" t="s">
        <v>227</v>
      </c>
      <c r="D114" s="88">
        <f>COUNTIF($C$13:C116,C114)</f>
        <v>8</v>
      </c>
      <c r="E114" s="99" t="str">
        <f t="shared" ref="E114:E129" si="16">_xlfn.TEXTJOIN("-",TRUE,B114,C114,TEXT(D114,"00"))</f>
        <v>TC-OU-08</v>
      </c>
      <c r="F114" s="88" t="s">
        <v>228</v>
      </c>
      <c r="G114" s="88" t="s">
        <v>229</v>
      </c>
      <c r="H114" s="88" t="s">
        <v>185</v>
      </c>
      <c r="I114" s="99" t="s">
        <v>230</v>
      </c>
      <c r="J114" s="70">
        <v>1</v>
      </c>
      <c r="K114" s="72" t="s">
        <v>198</v>
      </c>
      <c r="L114" s="72" t="s">
        <v>199</v>
      </c>
      <c r="M114" s="72" t="s">
        <v>188</v>
      </c>
      <c r="N114" s="88" t="s">
        <v>322</v>
      </c>
      <c r="O114" s="210" t="s">
        <v>22</v>
      </c>
    </row>
    <row r="115" spans="1:15" ht="30" x14ac:dyDescent="0.25">
      <c r="A115" s="95"/>
      <c r="B115" s="97"/>
      <c r="C115" s="89"/>
      <c r="D115" s="89"/>
      <c r="E115" s="200"/>
      <c r="F115" s="89"/>
      <c r="G115" s="89"/>
      <c r="H115" s="89"/>
      <c r="I115" s="100"/>
      <c r="J115" s="59">
        <v>2</v>
      </c>
      <c r="K115" s="58" t="s">
        <v>231</v>
      </c>
      <c r="L115" s="58" t="s">
        <v>209</v>
      </c>
      <c r="M115" s="58" t="s">
        <v>210</v>
      </c>
      <c r="N115" s="203"/>
      <c r="O115" s="211"/>
    </row>
    <row r="116" spans="1:15" ht="30.75" thickBot="1" x14ac:dyDescent="0.3">
      <c r="A116" s="95"/>
      <c r="B116" s="98"/>
      <c r="C116" s="90"/>
      <c r="D116" s="90"/>
      <c r="E116" s="201"/>
      <c r="F116" s="90"/>
      <c r="G116" s="90"/>
      <c r="H116" s="90"/>
      <c r="I116" s="101"/>
      <c r="J116" s="71">
        <v>3</v>
      </c>
      <c r="K116" s="73" t="s">
        <v>203</v>
      </c>
      <c r="L116" s="73" t="s">
        <v>264</v>
      </c>
      <c r="M116" s="73" t="s">
        <v>315</v>
      </c>
      <c r="N116" s="204"/>
      <c r="O116" s="212"/>
    </row>
    <row r="117" spans="1:15" ht="30" x14ac:dyDescent="0.25">
      <c r="A117" s="94">
        <v>38</v>
      </c>
      <c r="B117" s="96" t="s">
        <v>9</v>
      </c>
      <c r="C117" s="88" t="s">
        <v>227</v>
      </c>
      <c r="D117" s="88">
        <f>COUNTIF($C$13:C119,C117)</f>
        <v>9</v>
      </c>
      <c r="E117" s="99" t="str">
        <f t="shared" si="16"/>
        <v>TC-OU-09</v>
      </c>
      <c r="F117" s="88" t="s">
        <v>232</v>
      </c>
      <c r="G117" s="88" t="s">
        <v>233</v>
      </c>
      <c r="H117" s="88" t="s">
        <v>185</v>
      </c>
      <c r="I117" s="99" t="s">
        <v>234</v>
      </c>
      <c r="J117" s="70">
        <v>1</v>
      </c>
      <c r="K117" s="72" t="s">
        <v>198</v>
      </c>
      <c r="L117" s="72" t="s">
        <v>199</v>
      </c>
      <c r="M117" s="72" t="s">
        <v>188</v>
      </c>
      <c r="N117" s="88" t="s">
        <v>322</v>
      </c>
      <c r="O117" s="210" t="s">
        <v>22</v>
      </c>
    </row>
    <row r="118" spans="1:15" ht="30" x14ac:dyDescent="0.25">
      <c r="A118" s="95"/>
      <c r="B118" s="97"/>
      <c r="C118" s="89"/>
      <c r="D118" s="89"/>
      <c r="E118" s="200"/>
      <c r="F118" s="89"/>
      <c r="G118" s="89"/>
      <c r="H118" s="89"/>
      <c r="I118" s="100"/>
      <c r="J118" s="59">
        <v>2</v>
      </c>
      <c r="K118" s="58" t="s">
        <v>235</v>
      </c>
      <c r="L118" s="58" t="s">
        <v>209</v>
      </c>
      <c r="M118" s="58" t="s">
        <v>210</v>
      </c>
      <c r="N118" s="203"/>
      <c r="O118" s="211"/>
    </row>
    <row r="119" spans="1:15" ht="30.75" thickBot="1" x14ac:dyDescent="0.3">
      <c r="A119" s="95"/>
      <c r="B119" s="98"/>
      <c r="C119" s="90"/>
      <c r="D119" s="90"/>
      <c r="E119" s="201"/>
      <c r="F119" s="90"/>
      <c r="G119" s="90"/>
      <c r="H119" s="90"/>
      <c r="I119" s="101"/>
      <c r="J119" s="71">
        <v>3</v>
      </c>
      <c r="K119" s="73" t="s">
        <v>203</v>
      </c>
      <c r="L119" s="73" t="s">
        <v>264</v>
      </c>
      <c r="M119" s="73" t="s">
        <v>315</v>
      </c>
      <c r="N119" s="204"/>
      <c r="O119" s="212"/>
    </row>
    <row r="120" spans="1:15" ht="30" x14ac:dyDescent="0.25">
      <c r="A120" s="94">
        <v>39</v>
      </c>
      <c r="B120" s="96" t="s">
        <v>9</v>
      </c>
      <c r="C120" s="88" t="s">
        <v>227</v>
      </c>
      <c r="D120" s="88">
        <f>COUNTIF($C$13:C122,C120)</f>
        <v>10</v>
      </c>
      <c r="E120" s="99" t="str">
        <f t="shared" si="16"/>
        <v>TC-OU-10</v>
      </c>
      <c r="F120" s="88" t="s">
        <v>236</v>
      </c>
      <c r="G120" s="88" t="s">
        <v>237</v>
      </c>
      <c r="H120" s="88" t="s">
        <v>185</v>
      </c>
      <c r="I120" s="99" t="s">
        <v>238</v>
      </c>
      <c r="J120" s="70">
        <v>1</v>
      </c>
      <c r="K120" s="72" t="s">
        <v>198</v>
      </c>
      <c r="L120" s="72" t="s">
        <v>199</v>
      </c>
      <c r="M120" s="72" t="s">
        <v>188</v>
      </c>
      <c r="N120" s="88" t="s">
        <v>322</v>
      </c>
      <c r="O120" s="210" t="s">
        <v>22</v>
      </c>
    </row>
    <row r="121" spans="1:15" ht="30" x14ac:dyDescent="0.25">
      <c r="A121" s="95"/>
      <c r="B121" s="97"/>
      <c r="C121" s="89"/>
      <c r="D121" s="89"/>
      <c r="E121" s="200"/>
      <c r="F121" s="89"/>
      <c r="G121" s="89"/>
      <c r="H121" s="89"/>
      <c r="I121" s="100"/>
      <c r="J121" s="59">
        <v>2</v>
      </c>
      <c r="K121" s="58" t="s">
        <v>239</v>
      </c>
      <c r="L121" s="58" t="s">
        <v>209</v>
      </c>
      <c r="M121" s="58" t="s">
        <v>210</v>
      </c>
      <c r="N121" s="203"/>
      <c r="O121" s="211"/>
    </row>
    <row r="122" spans="1:15" ht="30.75" thickBot="1" x14ac:dyDescent="0.3">
      <c r="A122" s="95"/>
      <c r="B122" s="98"/>
      <c r="C122" s="90"/>
      <c r="D122" s="90"/>
      <c r="E122" s="201"/>
      <c r="F122" s="90"/>
      <c r="G122" s="90"/>
      <c r="H122" s="90"/>
      <c r="I122" s="101"/>
      <c r="J122" s="71">
        <v>3</v>
      </c>
      <c r="K122" s="73" t="s">
        <v>203</v>
      </c>
      <c r="L122" s="73" t="s">
        <v>264</v>
      </c>
      <c r="M122" s="73" t="s">
        <v>204</v>
      </c>
      <c r="N122" s="204"/>
      <c r="O122" s="212"/>
    </row>
    <row r="123" spans="1:15" ht="30" x14ac:dyDescent="0.25">
      <c r="A123" s="94">
        <v>40</v>
      </c>
      <c r="B123" s="96" t="s">
        <v>9</v>
      </c>
      <c r="C123" s="88" t="s">
        <v>227</v>
      </c>
      <c r="D123" s="88">
        <f>COUNTIF($C$13:C125,C123)</f>
        <v>11</v>
      </c>
      <c r="E123" s="99" t="str">
        <f t="shared" si="16"/>
        <v>TC-OU-11</v>
      </c>
      <c r="F123" s="88" t="s">
        <v>240</v>
      </c>
      <c r="G123" s="88" t="s">
        <v>241</v>
      </c>
      <c r="H123" s="88" t="s">
        <v>185</v>
      </c>
      <c r="I123" s="99" t="s">
        <v>242</v>
      </c>
      <c r="J123" s="70">
        <v>1</v>
      </c>
      <c r="K123" s="72" t="s">
        <v>198</v>
      </c>
      <c r="L123" s="72" t="s">
        <v>199</v>
      </c>
      <c r="M123" s="72" t="s">
        <v>188</v>
      </c>
      <c r="N123" s="88" t="s">
        <v>322</v>
      </c>
      <c r="O123" s="210" t="s">
        <v>22</v>
      </c>
    </row>
    <row r="124" spans="1:15" ht="45" x14ac:dyDescent="0.25">
      <c r="A124" s="95"/>
      <c r="B124" s="97"/>
      <c r="C124" s="89"/>
      <c r="D124" s="89"/>
      <c r="E124" s="200"/>
      <c r="F124" s="89"/>
      <c r="G124" s="89"/>
      <c r="H124" s="89"/>
      <c r="I124" s="100"/>
      <c r="J124" s="59">
        <v>2</v>
      </c>
      <c r="K124" s="58" t="s">
        <v>243</v>
      </c>
      <c r="L124" s="58" t="s">
        <v>201</v>
      </c>
      <c r="M124" s="58" t="s">
        <v>202</v>
      </c>
      <c r="N124" s="203"/>
      <c r="O124" s="211"/>
    </row>
    <row r="125" spans="1:15" ht="30.75" thickBot="1" x14ac:dyDescent="0.3">
      <c r="A125" s="95"/>
      <c r="B125" s="98"/>
      <c r="C125" s="90"/>
      <c r="D125" s="90"/>
      <c r="E125" s="201"/>
      <c r="F125" s="90"/>
      <c r="G125" s="90"/>
      <c r="H125" s="90"/>
      <c r="I125" s="101"/>
      <c r="J125" s="71">
        <v>3</v>
      </c>
      <c r="K125" s="73" t="s">
        <v>203</v>
      </c>
      <c r="L125" s="73" t="s">
        <v>264</v>
      </c>
      <c r="M125" s="73" t="s">
        <v>265</v>
      </c>
      <c r="N125" s="204"/>
      <c r="O125" s="212"/>
    </row>
    <row r="126" spans="1:15" ht="30" x14ac:dyDescent="0.25">
      <c r="A126" s="94">
        <v>41</v>
      </c>
      <c r="B126" s="96" t="s">
        <v>9</v>
      </c>
      <c r="C126" s="88" t="s">
        <v>227</v>
      </c>
      <c r="D126" s="88">
        <f>COUNTIF($C$13:C128,C126)</f>
        <v>12</v>
      </c>
      <c r="E126" s="99" t="str">
        <f t="shared" si="16"/>
        <v>TC-OU-12</v>
      </c>
      <c r="F126" s="88" t="s">
        <v>244</v>
      </c>
      <c r="G126" s="88" t="s">
        <v>245</v>
      </c>
      <c r="H126" s="88" t="s">
        <v>185</v>
      </c>
      <c r="I126" s="99" t="s">
        <v>246</v>
      </c>
      <c r="J126" s="70">
        <v>1</v>
      </c>
      <c r="K126" s="72" t="s">
        <v>198</v>
      </c>
      <c r="L126" s="72" t="s">
        <v>199</v>
      </c>
      <c r="M126" s="72" t="s">
        <v>188</v>
      </c>
      <c r="N126" s="88" t="s">
        <v>322</v>
      </c>
      <c r="O126" s="210" t="s">
        <v>22</v>
      </c>
    </row>
    <row r="127" spans="1:15" ht="30" x14ac:dyDescent="0.25">
      <c r="A127" s="95"/>
      <c r="B127" s="97"/>
      <c r="C127" s="89"/>
      <c r="D127" s="89"/>
      <c r="E127" s="200"/>
      <c r="F127" s="89"/>
      <c r="G127" s="89"/>
      <c r="H127" s="89"/>
      <c r="I127" s="100"/>
      <c r="J127" s="59">
        <v>2</v>
      </c>
      <c r="K127" s="58" t="s">
        <v>247</v>
      </c>
      <c r="L127" s="58" t="s">
        <v>209</v>
      </c>
      <c r="M127" s="58" t="s">
        <v>210</v>
      </c>
      <c r="N127" s="203"/>
      <c r="O127" s="211"/>
    </row>
    <row r="128" spans="1:15" ht="30.75" thickBot="1" x14ac:dyDescent="0.3">
      <c r="A128" s="95"/>
      <c r="B128" s="98"/>
      <c r="C128" s="90"/>
      <c r="D128" s="90"/>
      <c r="E128" s="201"/>
      <c r="F128" s="90"/>
      <c r="G128" s="90"/>
      <c r="H128" s="90"/>
      <c r="I128" s="101"/>
      <c r="J128" s="71">
        <v>3</v>
      </c>
      <c r="K128" s="73" t="s">
        <v>203</v>
      </c>
      <c r="L128" s="73" t="s">
        <v>264</v>
      </c>
      <c r="M128" s="73" t="s">
        <v>265</v>
      </c>
      <c r="N128" s="204"/>
      <c r="O128" s="212"/>
    </row>
    <row r="129" spans="1:15" ht="30" x14ac:dyDescent="0.25">
      <c r="A129" s="207">
        <v>42</v>
      </c>
      <c r="B129" s="96" t="s">
        <v>9</v>
      </c>
      <c r="C129" s="88" t="s">
        <v>227</v>
      </c>
      <c r="D129" s="88">
        <f>COUNTIF($C$13:C131,C129)</f>
        <v>13</v>
      </c>
      <c r="E129" s="99" t="str">
        <f t="shared" si="16"/>
        <v>TC-OU-13</v>
      </c>
      <c r="F129" s="88" t="s">
        <v>248</v>
      </c>
      <c r="G129" s="88" t="s">
        <v>249</v>
      </c>
      <c r="H129" s="88" t="s">
        <v>185</v>
      </c>
      <c r="I129" s="99" t="s">
        <v>250</v>
      </c>
      <c r="J129" s="70">
        <v>1</v>
      </c>
      <c r="K129" s="72" t="s">
        <v>198</v>
      </c>
      <c r="L129" s="72" t="s">
        <v>199</v>
      </c>
      <c r="M129" s="72" t="s">
        <v>188</v>
      </c>
      <c r="N129" s="88" t="s">
        <v>322</v>
      </c>
      <c r="O129" s="210" t="s">
        <v>22</v>
      </c>
    </row>
    <row r="130" spans="1:15" ht="30" x14ac:dyDescent="0.25">
      <c r="A130" s="207"/>
      <c r="B130" s="205"/>
      <c r="C130" s="203"/>
      <c r="D130" s="203"/>
      <c r="E130" s="200"/>
      <c r="F130" s="89"/>
      <c r="G130" s="89"/>
      <c r="H130" s="89"/>
      <c r="I130" s="100"/>
      <c r="J130" s="59">
        <v>2</v>
      </c>
      <c r="K130" s="58" t="s">
        <v>208</v>
      </c>
      <c r="L130" s="58" t="s">
        <v>209</v>
      </c>
      <c r="M130" s="58" t="s">
        <v>210</v>
      </c>
      <c r="N130" s="203"/>
      <c r="O130" s="211"/>
    </row>
    <row r="131" spans="1:15" ht="30" x14ac:dyDescent="0.25">
      <c r="A131" s="207"/>
      <c r="B131" s="205"/>
      <c r="C131" s="203"/>
      <c r="D131" s="203"/>
      <c r="E131" s="200"/>
      <c r="F131" s="89"/>
      <c r="G131" s="89"/>
      <c r="H131" s="89"/>
      <c r="I131" s="100"/>
      <c r="J131" s="59">
        <v>3</v>
      </c>
      <c r="K131" s="58" t="s">
        <v>251</v>
      </c>
      <c r="L131" s="58" t="s">
        <v>209</v>
      </c>
      <c r="M131" s="58" t="s">
        <v>210</v>
      </c>
      <c r="N131" s="203"/>
      <c r="O131" s="211"/>
    </row>
    <row r="132" spans="1:15" ht="30" x14ac:dyDescent="0.25">
      <c r="A132" s="207"/>
      <c r="B132" s="205"/>
      <c r="C132" s="203"/>
      <c r="D132" s="203"/>
      <c r="E132" s="200"/>
      <c r="F132" s="89"/>
      <c r="G132" s="89"/>
      <c r="H132" s="89"/>
      <c r="I132" s="100"/>
      <c r="J132" s="59">
        <v>4</v>
      </c>
      <c r="K132" s="58" t="s">
        <v>252</v>
      </c>
      <c r="L132" s="58" t="s">
        <v>209</v>
      </c>
      <c r="M132" s="58" t="s">
        <v>210</v>
      </c>
      <c r="N132" s="203"/>
      <c r="O132" s="211"/>
    </row>
    <row r="133" spans="1:15" ht="30.75" thickBot="1" x14ac:dyDescent="0.3">
      <c r="A133" s="207"/>
      <c r="B133" s="206"/>
      <c r="C133" s="204"/>
      <c r="D133" s="204"/>
      <c r="E133" s="201"/>
      <c r="F133" s="90"/>
      <c r="G133" s="90"/>
      <c r="H133" s="90"/>
      <c r="I133" s="101"/>
      <c r="J133" s="71">
        <v>5</v>
      </c>
      <c r="K133" s="73" t="s">
        <v>203</v>
      </c>
      <c r="L133" s="73" t="s">
        <v>264</v>
      </c>
      <c r="M133" s="73" t="s">
        <v>265</v>
      </c>
      <c r="N133" s="204"/>
      <c r="O133" s="212"/>
    </row>
    <row r="134" spans="1:15" ht="30" x14ac:dyDescent="0.25">
      <c r="A134" s="207">
        <v>43</v>
      </c>
      <c r="B134" s="96" t="s">
        <v>9</v>
      </c>
      <c r="C134" s="88" t="s">
        <v>227</v>
      </c>
      <c r="D134" s="88">
        <f>COUNTIF($C$15:C138,C134)</f>
        <v>14</v>
      </c>
      <c r="E134" s="99" t="str">
        <f t="shared" ref="E134" si="17">_xlfn.TEXTJOIN("-",TRUE,B134,C134,TEXT(D134,"00"))</f>
        <v>TC-OU-14</v>
      </c>
      <c r="F134" s="88" t="s">
        <v>253</v>
      </c>
      <c r="G134" s="88" t="s">
        <v>254</v>
      </c>
      <c r="H134" s="88" t="s">
        <v>255</v>
      </c>
      <c r="I134" s="99" t="s">
        <v>256</v>
      </c>
      <c r="J134" s="70">
        <v>1</v>
      </c>
      <c r="K134" s="72" t="s">
        <v>198</v>
      </c>
      <c r="L134" s="72" t="s">
        <v>257</v>
      </c>
      <c r="M134" s="72" t="s">
        <v>258</v>
      </c>
      <c r="N134" s="88" t="s">
        <v>322</v>
      </c>
      <c r="O134" s="210" t="s">
        <v>22</v>
      </c>
    </row>
    <row r="135" spans="1:15" ht="30" x14ac:dyDescent="0.25">
      <c r="A135" s="207"/>
      <c r="B135" s="205"/>
      <c r="C135" s="203"/>
      <c r="D135" s="203"/>
      <c r="E135" s="200"/>
      <c r="F135" s="89"/>
      <c r="G135" s="89"/>
      <c r="H135" s="89"/>
      <c r="I135" s="100"/>
      <c r="J135" s="59">
        <v>2</v>
      </c>
      <c r="K135" s="58" t="s">
        <v>203</v>
      </c>
      <c r="L135" s="58" t="s">
        <v>264</v>
      </c>
      <c r="M135" s="58" t="s">
        <v>265</v>
      </c>
      <c r="N135" s="203"/>
      <c r="O135" s="211"/>
    </row>
    <row r="136" spans="1:15" ht="30" x14ac:dyDescent="0.25">
      <c r="A136" s="207"/>
      <c r="B136" s="205"/>
      <c r="C136" s="203"/>
      <c r="D136" s="203"/>
      <c r="E136" s="200"/>
      <c r="F136" s="89"/>
      <c r="G136" s="89"/>
      <c r="H136" s="89"/>
      <c r="I136" s="100"/>
      <c r="J136" s="59">
        <v>3</v>
      </c>
      <c r="K136" s="58" t="s">
        <v>259</v>
      </c>
      <c r="L136" s="58" t="s">
        <v>260</v>
      </c>
      <c r="M136" s="58" t="s">
        <v>314</v>
      </c>
      <c r="N136" s="203"/>
      <c r="O136" s="211"/>
    </row>
    <row r="137" spans="1:15" ht="30" x14ac:dyDescent="0.25">
      <c r="A137" s="207"/>
      <c r="B137" s="205"/>
      <c r="C137" s="203"/>
      <c r="D137" s="203"/>
      <c r="E137" s="200"/>
      <c r="F137" s="89"/>
      <c r="G137" s="89"/>
      <c r="H137" s="89"/>
      <c r="I137" s="100"/>
      <c r="J137" s="59">
        <v>4</v>
      </c>
      <c r="K137" s="58" t="s">
        <v>220</v>
      </c>
      <c r="L137" s="58" t="s">
        <v>266</v>
      </c>
      <c r="M137" s="58" t="s">
        <v>267</v>
      </c>
      <c r="N137" s="203"/>
      <c r="O137" s="211"/>
    </row>
    <row r="138" spans="1:15" ht="30.75" thickBot="1" x14ac:dyDescent="0.3">
      <c r="A138" s="207"/>
      <c r="B138" s="208"/>
      <c r="C138" s="209"/>
      <c r="D138" s="209"/>
      <c r="E138" s="202"/>
      <c r="F138" s="221"/>
      <c r="G138" s="221"/>
      <c r="H138" s="221"/>
      <c r="I138" s="222"/>
      <c r="J138" s="68">
        <v>5</v>
      </c>
      <c r="K138" s="69" t="s">
        <v>259</v>
      </c>
      <c r="L138" s="69" t="s">
        <v>193</v>
      </c>
      <c r="M138" s="69" t="s">
        <v>194</v>
      </c>
      <c r="N138" s="209"/>
      <c r="O138" s="213"/>
    </row>
    <row r="139" spans="1:15" x14ac:dyDescent="0.25">
      <c r="A139" s="229">
        <v>44</v>
      </c>
      <c r="B139" s="227" t="s">
        <v>9</v>
      </c>
      <c r="C139" s="231" t="s">
        <v>313</v>
      </c>
      <c r="D139" s="231">
        <f>COUNTIF($C$12:C140,C139)</f>
        <v>1</v>
      </c>
      <c r="E139" s="233" t="str">
        <f t="shared" ref="E139" si="18">_xlfn.TEXTJOIN("-",TRUE,B139,C139,TEXT(D139,"00"))</f>
        <v>TC-KP-01</v>
      </c>
      <c r="F139" s="214" t="s">
        <v>268</v>
      </c>
      <c r="G139" s="214" t="s">
        <v>269</v>
      </c>
      <c r="H139" s="214" t="s">
        <v>23</v>
      </c>
      <c r="I139" s="216" t="s">
        <v>270</v>
      </c>
      <c r="J139" s="77">
        <v>1</v>
      </c>
      <c r="K139" s="78" t="s">
        <v>31</v>
      </c>
      <c r="L139" s="78"/>
      <c r="M139" s="78"/>
      <c r="N139" s="214" t="s">
        <v>332</v>
      </c>
      <c r="O139" s="219" t="s">
        <v>22</v>
      </c>
    </row>
    <row r="140" spans="1:15" ht="30.75" thickBot="1" x14ac:dyDescent="0.3">
      <c r="A140" s="230"/>
      <c r="B140" s="228"/>
      <c r="C140" s="232"/>
      <c r="D140" s="232"/>
      <c r="E140" s="234"/>
      <c r="F140" s="215"/>
      <c r="G140" s="215"/>
      <c r="H140" s="215"/>
      <c r="I140" s="217"/>
      <c r="J140" s="79">
        <v>2</v>
      </c>
      <c r="K140" s="80" t="s">
        <v>158</v>
      </c>
      <c r="L140" s="80" t="s">
        <v>271</v>
      </c>
      <c r="M140" s="80" t="s">
        <v>272</v>
      </c>
      <c r="N140" s="218"/>
      <c r="O140" s="220"/>
    </row>
    <row r="141" spans="1:15" x14ac:dyDescent="0.25">
      <c r="A141" s="229">
        <v>45</v>
      </c>
      <c r="B141" s="227" t="s">
        <v>9</v>
      </c>
      <c r="C141" s="231" t="s">
        <v>313</v>
      </c>
      <c r="D141" s="231">
        <f>COUNTIF($C$12:C142,C141)</f>
        <v>2</v>
      </c>
      <c r="E141" s="233" t="str">
        <f t="shared" ref="E141" si="19">_xlfn.TEXTJOIN("-",TRUE,B141,C141,TEXT(D141,"00"))</f>
        <v>TC-KP-02</v>
      </c>
      <c r="F141" s="214" t="s">
        <v>273</v>
      </c>
      <c r="G141" s="214" t="s">
        <v>274</v>
      </c>
      <c r="H141" s="214" t="s">
        <v>23</v>
      </c>
      <c r="I141" s="216" t="s">
        <v>275</v>
      </c>
      <c r="J141" s="77">
        <v>1</v>
      </c>
      <c r="K141" s="78" t="s">
        <v>276</v>
      </c>
      <c r="L141" s="78"/>
      <c r="M141" s="78"/>
      <c r="N141" s="214" t="s">
        <v>332</v>
      </c>
      <c r="O141" s="219" t="s">
        <v>22</v>
      </c>
    </row>
    <row r="142" spans="1:15" ht="45.75" thickBot="1" x14ac:dyDescent="0.3">
      <c r="A142" s="230"/>
      <c r="B142" s="228"/>
      <c r="C142" s="232"/>
      <c r="D142" s="232"/>
      <c r="E142" s="234"/>
      <c r="F142" s="215"/>
      <c r="G142" s="215"/>
      <c r="H142" s="215"/>
      <c r="I142" s="217"/>
      <c r="J142" s="79">
        <v>2</v>
      </c>
      <c r="K142" s="80" t="s">
        <v>158</v>
      </c>
      <c r="L142" s="80" t="s">
        <v>47</v>
      </c>
      <c r="M142" s="80" t="s">
        <v>82</v>
      </c>
      <c r="N142" s="218"/>
      <c r="O142" s="220"/>
    </row>
    <row r="143" spans="1:15" x14ac:dyDescent="0.25">
      <c r="A143" s="229">
        <v>46</v>
      </c>
      <c r="B143" s="227" t="s">
        <v>9</v>
      </c>
      <c r="C143" s="231" t="s">
        <v>313</v>
      </c>
      <c r="D143" s="231">
        <f>COUNTIF($C$12:C144,C143)</f>
        <v>3</v>
      </c>
      <c r="E143" s="233" t="str">
        <f t="shared" ref="E143" si="20">_xlfn.TEXTJOIN("-",TRUE,B143,C143,TEXT(D143,"00"))</f>
        <v>TC-KP-03</v>
      </c>
      <c r="F143" s="214" t="s">
        <v>277</v>
      </c>
      <c r="G143" s="214" t="s">
        <v>278</v>
      </c>
      <c r="H143" s="214" t="s">
        <v>23</v>
      </c>
      <c r="I143" s="216" t="s">
        <v>279</v>
      </c>
      <c r="J143" s="77">
        <v>1</v>
      </c>
      <c r="K143" s="78" t="s">
        <v>280</v>
      </c>
      <c r="L143" s="78"/>
      <c r="M143" s="78"/>
      <c r="N143" s="214" t="s">
        <v>332</v>
      </c>
      <c r="O143" s="219" t="s">
        <v>22</v>
      </c>
    </row>
    <row r="144" spans="1:15" ht="45.75" thickBot="1" x14ac:dyDescent="0.3">
      <c r="A144" s="230"/>
      <c r="B144" s="228"/>
      <c r="C144" s="232"/>
      <c r="D144" s="232"/>
      <c r="E144" s="234"/>
      <c r="F144" s="215"/>
      <c r="G144" s="215"/>
      <c r="H144" s="215"/>
      <c r="I144" s="217"/>
      <c r="J144" s="79">
        <v>2</v>
      </c>
      <c r="K144" s="80" t="s">
        <v>158</v>
      </c>
      <c r="L144" s="80" t="s">
        <v>47</v>
      </c>
      <c r="M144" s="80" t="s">
        <v>82</v>
      </c>
      <c r="N144" s="218"/>
      <c r="O144" s="220"/>
    </row>
    <row r="145" spans="1:15" x14ac:dyDescent="0.25">
      <c r="A145" s="229">
        <v>47</v>
      </c>
      <c r="B145" s="227" t="s">
        <v>9</v>
      </c>
      <c r="C145" s="231" t="s">
        <v>313</v>
      </c>
      <c r="D145" s="231">
        <f>COUNTIF($C$12:C146,C145)</f>
        <v>4</v>
      </c>
      <c r="E145" s="233" t="str">
        <f t="shared" ref="E145" si="21">_xlfn.TEXTJOIN("-",TRUE,B145,C145,TEXT(D145,"00"))</f>
        <v>TC-KP-04</v>
      </c>
      <c r="F145" s="214" t="s">
        <v>281</v>
      </c>
      <c r="G145" s="214" t="s">
        <v>282</v>
      </c>
      <c r="H145" s="214" t="s">
        <v>23</v>
      </c>
      <c r="I145" s="216" t="s">
        <v>283</v>
      </c>
      <c r="J145" s="77">
        <v>1</v>
      </c>
      <c r="K145" s="78" t="s">
        <v>284</v>
      </c>
      <c r="L145" s="78"/>
      <c r="M145" s="78"/>
      <c r="N145" s="214" t="s">
        <v>332</v>
      </c>
      <c r="O145" s="219" t="s">
        <v>22</v>
      </c>
    </row>
    <row r="146" spans="1:15" ht="45.75" thickBot="1" x14ac:dyDescent="0.3">
      <c r="A146" s="230"/>
      <c r="B146" s="228"/>
      <c r="C146" s="232"/>
      <c r="D146" s="232"/>
      <c r="E146" s="234"/>
      <c r="F146" s="215"/>
      <c r="G146" s="215"/>
      <c r="H146" s="215"/>
      <c r="I146" s="217"/>
      <c r="J146" s="79">
        <v>2</v>
      </c>
      <c r="K146" s="80" t="s">
        <v>158</v>
      </c>
      <c r="L146" s="80" t="s">
        <v>47</v>
      </c>
      <c r="M146" s="80" t="s">
        <v>82</v>
      </c>
      <c r="N146" s="218"/>
      <c r="O146" s="220"/>
    </row>
    <row r="147" spans="1:15" x14ac:dyDescent="0.25">
      <c r="A147" s="229">
        <v>48</v>
      </c>
      <c r="B147" s="227" t="s">
        <v>9</v>
      </c>
      <c r="C147" s="231" t="s">
        <v>313</v>
      </c>
      <c r="D147" s="231">
        <f>COUNTIF($C$12:C148,C147)</f>
        <v>5</v>
      </c>
      <c r="E147" s="233" t="str">
        <f t="shared" ref="E147" si="22">_xlfn.TEXTJOIN("-",TRUE,B147,C147,TEXT(D147,"00"))</f>
        <v>TC-KP-05</v>
      </c>
      <c r="F147" s="214" t="s">
        <v>285</v>
      </c>
      <c r="G147" s="214" t="s">
        <v>286</v>
      </c>
      <c r="H147" s="214" t="s">
        <v>23</v>
      </c>
      <c r="I147" s="216" t="s">
        <v>287</v>
      </c>
      <c r="J147" s="77">
        <v>1</v>
      </c>
      <c r="K147" s="78" t="s">
        <v>288</v>
      </c>
      <c r="L147" s="78"/>
      <c r="M147" s="78"/>
      <c r="N147" s="214" t="s">
        <v>332</v>
      </c>
      <c r="O147" s="219" t="s">
        <v>22</v>
      </c>
    </row>
    <row r="148" spans="1:15" ht="45.75" thickBot="1" x14ac:dyDescent="0.3">
      <c r="A148" s="230"/>
      <c r="B148" s="228"/>
      <c r="C148" s="232"/>
      <c r="D148" s="232"/>
      <c r="E148" s="234"/>
      <c r="F148" s="215"/>
      <c r="G148" s="215"/>
      <c r="H148" s="215"/>
      <c r="I148" s="217"/>
      <c r="J148" s="79">
        <v>2</v>
      </c>
      <c r="K148" s="80" t="s">
        <v>158</v>
      </c>
      <c r="L148" s="80" t="s">
        <v>47</v>
      </c>
      <c r="M148" s="80" t="s">
        <v>82</v>
      </c>
      <c r="N148" s="218"/>
      <c r="O148" s="220"/>
    </row>
    <row r="149" spans="1:15" ht="45.75" thickBot="1" x14ac:dyDescent="0.3">
      <c r="A149" s="76">
        <v>49</v>
      </c>
      <c r="B149" s="81" t="s">
        <v>9</v>
      </c>
      <c r="C149" s="82" t="s">
        <v>313</v>
      </c>
      <c r="D149" s="84">
        <f>COUNTIF($C$11:C149,C149)</f>
        <v>6</v>
      </c>
      <c r="E149" s="83" t="str">
        <f t="shared" ref="E149" si="23">_xlfn.TEXTJOIN("-",TRUE,B149,C149,TEXT(D149,"00"))</f>
        <v>TC-KP-06</v>
      </c>
      <c r="F149" s="84" t="s">
        <v>289</v>
      </c>
      <c r="G149" s="84" t="s">
        <v>290</v>
      </c>
      <c r="H149" s="84" t="s">
        <v>23</v>
      </c>
      <c r="I149" s="87" t="s">
        <v>80</v>
      </c>
      <c r="J149" s="84">
        <v>1</v>
      </c>
      <c r="K149" s="85" t="s">
        <v>214</v>
      </c>
      <c r="L149" s="85" t="s">
        <v>47</v>
      </c>
      <c r="M149" s="85" t="s">
        <v>82</v>
      </c>
      <c r="N149" s="84" t="s">
        <v>332</v>
      </c>
      <c r="O149" s="86" t="s">
        <v>22</v>
      </c>
    </row>
    <row r="150" spans="1:15" ht="30" x14ac:dyDescent="0.25">
      <c r="A150" s="243">
        <v>50</v>
      </c>
      <c r="B150" s="241" t="s">
        <v>9</v>
      </c>
      <c r="C150" s="214" t="s">
        <v>313</v>
      </c>
      <c r="D150" s="214">
        <f>COUNTIF($C$12:C151,C150)</f>
        <v>7</v>
      </c>
      <c r="E150" s="216" t="str">
        <f t="shared" ref="E150" si="24">_xlfn.TEXTJOIN("-",TRUE,B150,C150,TEXT(D150,"00"))</f>
        <v>TC-KP-07</v>
      </c>
      <c r="F150" s="214" t="s">
        <v>291</v>
      </c>
      <c r="G150" s="214" t="s">
        <v>292</v>
      </c>
      <c r="H150" s="214" t="s">
        <v>23</v>
      </c>
      <c r="I150" s="216" t="s">
        <v>60</v>
      </c>
      <c r="J150" s="77">
        <v>1</v>
      </c>
      <c r="K150" s="78" t="s">
        <v>293</v>
      </c>
      <c r="L150" s="78"/>
      <c r="M150" s="78"/>
      <c r="N150" s="214" t="s">
        <v>332</v>
      </c>
      <c r="O150" s="219" t="s">
        <v>22</v>
      </c>
    </row>
    <row r="151" spans="1:15" ht="45.75" thickBot="1" x14ac:dyDescent="0.3">
      <c r="A151" s="243"/>
      <c r="B151" s="242"/>
      <c r="C151" s="240"/>
      <c r="D151" s="240"/>
      <c r="E151" s="239"/>
      <c r="F151" s="226"/>
      <c r="G151" s="226"/>
      <c r="H151" s="226"/>
      <c r="I151" s="223"/>
      <c r="J151" s="79">
        <v>2</v>
      </c>
      <c r="K151" s="80" t="s">
        <v>158</v>
      </c>
      <c r="L151" s="80" t="s">
        <v>47</v>
      </c>
      <c r="M151" s="80" t="s">
        <v>82</v>
      </c>
      <c r="N151" s="224"/>
      <c r="O151" s="225"/>
    </row>
    <row r="152" spans="1:15" x14ac:dyDescent="0.25">
      <c r="A152" s="243">
        <v>51</v>
      </c>
      <c r="B152" s="241" t="s">
        <v>9</v>
      </c>
      <c r="C152" s="214" t="s">
        <v>313</v>
      </c>
      <c r="D152" s="214">
        <f>COUNTIF($C$12:C153,C152)</f>
        <v>8</v>
      </c>
      <c r="E152" s="216" t="str">
        <f t="shared" ref="E152" si="25">_xlfn.TEXTJOIN("-",TRUE,B152,C152,TEXT(D152,"00"))</f>
        <v>TC-KP-08</v>
      </c>
      <c r="F152" s="214" t="s">
        <v>294</v>
      </c>
      <c r="G152" s="214" t="s">
        <v>295</v>
      </c>
      <c r="H152" s="214" t="s">
        <v>23</v>
      </c>
      <c r="I152" s="216" t="s">
        <v>296</v>
      </c>
      <c r="J152" s="77">
        <v>1</v>
      </c>
      <c r="K152" s="78" t="s">
        <v>297</v>
      </c>
      <c r="L152" s="78"/>
      <c r="M152" s="78"/>
      <c r="N152" s="214" t="s">
        <v>332</v>
      </c>
      <c r="O152" s="219" t="s">
        <v>22</v>
      </c>
    </row>
    <row r="153" spans="1:15" ht="45.75" thickBot="1" x14ac:dyDescent="0.3">
      <c r="A153" s="243"/>
      <c r="B153" s="242"/>
      <c r="C153" s="240"/>
      <c r="D153" s="240"/>
      <c r="E153" s="239"/>
      <c r="F153" s="226"/>
      <c r="G153" s="226"/>
      <c r="H153" s="226"/>
      <c r="I153" s="223"/>
      <c r="J153" s="79">
        <v>2</v>
      </c>
      <c r="K153" s="80" t="s">
        <v>158</v>
      </c>
      <c r="L153" s="80" t="s">
        <v>47</v>
      </c>
      <c r="M153" s="80" t="s">
        <v>82</v>
      </c>
      <c r="N153" s="224"/>
      <c r="O153" s="225"/>
    </row>
    <row r="154" spans="1:15" x14ac:dyDescent="0.25">
      <c r="A154" s="243">
        <v>52</v>
      </c>
      <c r="B154" s="241" t="s">
        <v>9</v>
      </c>
      <c r="C154" s="214" t="s">
        <v>313</v>
      </c>
      <c r="D154" s="214">
        <f>COUNTIF($C$12:C155,C154)</f>
        <v>9</v>
      </c>
      <c r="E154" s="216" t="str">
        <f t="shared" ref="E154" si="26">_xlfn.TEXTJOIN("-",TRUE,B154,C154,TEXT(D154,"00"))</f>
        <v>TC-KP-09</v>
      </c>
      <c r="F154" s="214" t="s">
        <v>298</v>
      </c>
      <c r="G154" s="214" t="s">
        <v>299</v>
      </c>
      <c r="H154" s="214" t="s">
        <v>23</v>
      </c>
      <c r="I154" s="216" t="s">
        <v>300</v>
      </c>
      <c r="J154" s="77">
        <v>1</v>
      </c>
      <c r="K154" s="78" t="s">
        <v>301</v>
      </c>
      <c r="L154" s="78"/>
      <c r="M154" s="78"/>
      <c r="N154" s="214" t="s">
        <v>332</v>
      </c>
      <c r="O154" s="219" t="s">
        <v>22</v>
      </c>
    </row>
    <row r="155" spans="1:15" ht="45.75" thickBot="1" x14ac:dyDescent="0.3">
      <c r="A155" s="243"/>
      <c r="B155" s="242"/>
      <c r="C155" s="240"/>
      <c r="D155" s="240"/>
      <c r="E155" s="239"/>
      <c r="F155" s="226"/>
      <c r="G155" s="226"/>
      <c r="H155" s="226"/>
      <c r="I155" s="223"/>
      <c r="J155" s="79">
        <v>2</v>
      </c>
      <c r="K155" s="80" t="s">
        <v>158</v>
      </c>
      <c r="L155" s="80" t="s">
        <v>47</v>
      </c>
      <c r="M155" s="80" t="s">
        <v>82</v>
      </c>
      <c r="N155" s="224"/>
      <c r="O155" s="225"/>
    </row>
    <row r="156" spans="1:15" ht="45" x14ac:dyDescent="0.25">
      <c r="A156" s="243">
        <v>53</v>
      </c>
      <c r="B156" s="241" t="s">
        <v>9</v>
      </c>
      <c r="C156" s="214" t="s">
        <v>313</v>
      </c>
      <c r="D156" s="214">
        <f>COUNTIF($C$14:C159,C156)</f>
        <v>10</v>
      </c>
      <c r="E156" s="216" t="str">
        <f t="shared" ref="E156" si="27">_xlfn.TEXTJOIN("-",TRUE,B156,C156,TEXT(D156,"00"))</f>
        <v>TC-KP-10</v>
      </c>
      <c r="F156" s="214" t="s">
        <v>302</v>
      </c>
      <c r="G156" s="214" t="s">
        <v>303</v>
      </c>
      <c r="H156" s="214" t="s">
        <v>23</v>
      </c>
      <c r="I156" s="216" t="s">
        <v>321</v>
      </c>
      <c r="J156" s="77">
        <v>1</v>
      </c>
      <c r="K156" s="78" t="s">
        <v>304</v>
      </c>
      <c r="L156" s="78" t="s">
        <v>47</v>
      </c>
      <c r="M156" s="78" t="s">
        <v>82</v>
      </c>
      <c r="N156" s="214" t="s">
        <v>332</v>
      </c>
      <c r="O156" s="219" t="s">
        <v>22</v>
      </c>
    </row>
    <row r="157" spans="1:15" ht="45" x14ac:dyDescent="0.25">
      <c r="A157" s="243"/>
      <c r="B157" s="246"/>
      <c r="C157" s="245"/>
      <c r="D157" s="245"/>
      <c r="E157" s="244"/>
      <c r="F157" s="235"/>
      <c r="G157" s="235"/>
      <c r="H157" s="235"/>
      <c r="I157" s="236"/>
      <c r="J157" s="74">
        <v>2</v>
      </c>
      <c r="K157" s="75" t="s">
        <v>305</v>
      </c>
      <c r="L157" s="75" t="s">
        <v>47</v>
      </c>
      <c r="M157" s="75" t="s">
        <v>82</v>
      </c>
      <c r="N157" s="237"/>
      <c r="O157" s="238"/>
    </row>
    <row r="158" spans="1:15" ht="45" x14ac:dyDescent="0.25">
      <c r="A158" s="243"/>
      <c r="B158" s="246"/>
      <c r="C158" s="245"/>
      <c r="D158" s="245"/>
      <c r="E158" s="244"/>
      <c r="F158" s="235"/>
      <c r="G158" s="235"/>
      <c r="H158" s="235"/>
      <c r="I158" s="236"/>
      <c r="J158" s="74">
        <v>3</v>
      </c>
      <c r="K158" s="75" t="s">
        <v>306</v>
      </c>
      <c r="L158" s="75" t="s">
        <v>47</v>
      </c>
      <c r="M158" s="75" t="s">
        <v>82</v>
      </c>
      <c r="N158" s="237"/>
      <c r="O158" s="238"/>
    </row>
    <row r="159" spans="1:15" ht="30.75" thickBot="1" x14ac:dyDescent="0.3">
      <c r="A159" s="243"/>
      <c r="B159" s="242"/>
      <c r="C159" s="240"/>
      <c r="D159" s="240"/>
      <c r="E159" s="239"/>
      <c r="F159" s="226"/>
      <c r="G159" s="226"/>
      <c r="H159" s="226"/>
      <c r="I159" s="223"/>
      <c r="J159" s="79">
        <v>4</v>
      </c>
      <c r="K159" s="80" t="s">
        <v>307</v>
      </c>
      <c r="L159" s="80" t="s">
        <v>308</v>
      </c>
      <c r="M159" s="80" t="s">
        <v>272</v>
      </c>
      <c r="N159" s="224"/>
      <c r="O159" s="225"/>
    </row>
    <row r="160" spans="1:15" x14ac:dyDescent="0.25">
      <c r="A160" s="243">
        <v>54</v>
      </c>
      <c r="B160" s="241" t="s">
        <v>9</v>
      </c>
      <c r="C160" s="214" t="s">
        <v>313</v>
      </c>
      <c r="D160" s="214">
        <f>COUNTIF($C$13:C161,C160)</f>
        <v>11</v>
      </c>
      <c r="E160" s="216" t="str">
        <f t="shared" ref="E160" si="28">_xlfn.TEXTJOIN("-",TRUE,B160,C160,TEXT(D160,"00"))</f>
        <v>TC-KP-11</v>
      </c>
      <c r="F160" s="214" t="s">
        <v>309</v>
      </c>
      <c r="G160" s="214" t="s">
        <v>310</v>
      </c>
      <c r="H160" s="214" t="s">
        <v>255</v>
      </c>
      <c r="I160" s="216" t="s">
        <v>270</v>
      </c>
      <c r="J160" s="77">
        <v>1</v>
      </c>
      <c r="K160" s="78" t="s">
        <v>31</v>
      </c>
      <c r="L160" s="78"/>
      <c r="M160" s="78"/>
      <c r="N160" s="214" t="s">
        <v>332</v>
      </c>
      <c r="O160" s="219" t="s">
        <v>22</v>
      </c>
    </row>
    <row r="161" spans="1:15" ht="30.75" thickBot="1" x14ac:dyDescent="0.3">
      <c r="A161" s="243"/>
      <c r="B161" s="242"/>
      <c r="C161" s="240"/>
      <c r="D161" s="240"/>
      <c r="E161" s="239"/>
      <c r="F161" s="226"/>
      <c r="G161" s="226"/>
      <c r="H161" s="226"/>
      <c r="I161" s="223"/>
      <c r="J161" s="79">
        <v>2</v>
      </c>
      <c r="K161" s="80" t="s">
        <v>158</v>
      </c>
      <c r="L161" s="80" t="s">
        <v>311</v>
      </c>
      <c r="M161" s="80" t="s">
        <v>312</v>
      </c>
      <c r="N161" s="224"/>
      <c r="O161" s="225"/>
    </row>
  </sheetData>
  <mergeCells count="577">
    <mergeCell ref="E160:E161"/>
    <mergeCell ref="D160:D161"/>
    <mergeCell ref="C160:C161"/>
    <mergeCell ref="B160:B161"/>
    <mergeCell ref="A160:A161"/>
    <mergeCell ref="E156:E159"/>
    <mergeCell ref="D156:D159"/>
    <mergeCell ref="C156:C159"/>
    <mergeCell ref="B156:B159"/>
    <mergeCell ref="A156:A159"/>
    <mergeCell ref="A152:A153"/>
    <mergeCell ref="B152:B153"/>
    <mergeCell ref="C152:C153"/>
    <mergeCell ref="D152:D153"/>
    <mergeCell ref="E152:E153"/>
    <mergeCell ref="A154:A155"/>
    <mergeCell ref="B154:B155"/>
    <mergeCell ref="C154:C155"/>
    <mergeCell ref="D154:D155"/>
    <mergeCell ref="E154:E155"/>
    <mergeCell ref="E150:E151"/>
    <mergeCell ref="D150:D151"/>
    <mergeCell ref="C150:C151"/>
    <mergeCell ref="B150:B151"/>
    <mergeCell ref="A150:A151"/>
    <mergeCell ref="D143:D144"/>
    <mergeCell ref="E143:E144"/>
    <mergeCell ref="A145:A146"/>
    <mergeCell ref="B145:B146"/>
    <mergeCell ref="C145:C146"/>
    <mergeCell ref="D145:D146"/>
    <mergeCell ref="E145:E146"/>
    <mergeCell ref="A147:A148"/>
    <mergeCell ref="B147:B148"/>
    <mergeCell ref="C147:C148"/>
    <mergeCell ref="D147:D148"/>
    <mergeCell ref="E147:E148"/>
    <mergeCell ref="F160:F161"/>
    <mergeCell ref="G160:G161"/>
    <mergeCell ref="H160:H161"/>
    <mergeCell ref="I160:I161"/>
    <mergeCell ref="N160:N161"/>
    <mergeCell ref="O160:O161"/>
    <mergeCell ref="E139:E140"/>
    <mergeCell ref="D139:D140"/>
    <mergeCell ref="C139:C140"/>
    <mergeCell ref="F154:F155"/>
    <mergeCell ref="G154:G155"/>
    <mergeCell ref="H154:H155"/>
    <mergeCell ref="I154:I155"/>
    <mergeCell ref="N154:N155"/>
    <mergeCell ref="O154:O155"/>
    <mergeCell ref="F156:F159"/>
    <mergeCell ref="G156:G159"/>
    <mergeCell ref="H156:H159"/>
    <mergeCell ref="I156:I159"/>
    <mergeCell ref="N156:N159"/>
    <mergeCell ref="O156:O159"/>
    <mergeCell ref="F150:F151"/>
    <mergeCell ref="G150:G151"/>
    <mergeCell ref="H150:H151"/>
    <mergeCell ref="B139:B140"/>
    <mergeCell ref="A139:A140"/>
    <mergeCell ref="A141:A142"/>
    <mergeCell ref="B141:B142"/>
    <mergeCell ref="C141:C142"/>
    <mergeCell ref="D141:D142"/>
    <mergeCell ref="E141:E142"/>
    <mergeCell ref="A143:A144"/>
    <mergeCell ref="B143:B144"/>
    <mergeCell ref="C143:C144"/>
    <mergeCell ref="I150:I151"/>
    <mergeCell ref="N150:N151"/>
    <mergeCell ref="O150:O151"/>
    <mergeCell ref="F152:F153"/>
    <mergeCell ref="G152:G153"/>
    <mergeCell ref="H152:H153"/>
    <mergeCell ref="I152:I153"/>
    <mergeCell ref="N152:N153"/>
    <mergeCell ref="O152:O153"/>
    <mergeCell ref="F145:F146"/>
    <mergeCell ref="G145:G146"/>
    <mergeCell ref="H145:H146"/>
    <mergeCell ref="I145:I146"/>
    <mergeCell ref="N145:N146"/>
    <mergeCell ref="O145:O146"/>
    <mergeCell ref="F147:F148"/>
    <mergeCell ref="G147:G148"/>
    <mergeCell ref="H147:H148"/>
    <mergeCell ref="I147:I148"/>
    <mergeCell ref="N147:N148"/>
    <mergeCell ref="O147:O148"/>
    <mergeCell ref="F141:F142"/>
    <mergeCell ref="G141:G142"/>
    <mergeCell ref="H141:H142"/>
    <mergeCell ref="I141:I142"/>
    <mergeCell ref="N141:N142"/>
    <mergeCell ref="O141:O142"/>
    <mergeCell ref="F143:F144"/>
    <mergeCell ref="G143:G144"/>
    <mergeCell ref="H143:H144"/>
    <mergeCell ref="I143:I144"/>
    <mergeCell ref="N143:N144"/>
    <mergeCell ref="O143:O144"/>
    <mergeCell ref="O129:O133"/>
    <mergeCell ref="N129:N133"/>
    <mergeCell ref="N134:N138"/>
    <mergeCell ref="O134:O138"/>
    <mergeCell ref="F139:F140"/>
    <mergeCell ref="G139:G140"/>
    <mergeCell ref="H139:H140"/>
    <mergeCell ref="I139:I140"/>
    <mergeCell ref="N139:N140"/>
    <mergeCell ref="O139:O140"/>
    <mergeCell ref="F129:F133"/>
    <mergeCell ref="G129:G133"/>
    <mergeCell ref="H129:H133"/>
    <mergeCell ref="I129:I133"/>
    <mergeCell ref="F134:F138"/>
    <mergeCell ref="G134:G138"/>
    <mergeCell ref="H134:H138"/>
    <mergeCell ref="I134:I138"/>
    <mergeCell ref="N114:N116"/>
    <mergeCell ref="O114:O116"/>
    <mergeCell ref="N117:N119"/>
    <mergeCell ref="O117:O119"/>
    <mergeCell ref="N120:N122"/>
    <mergeCell ref="O120:O122"/>
    <mergeCell ref="N123:N125"/>
    <mergeCell ref="O123:O125"/>
    <mergeCell ref="N126:N128"/>
    <mergeCell ref="O126:O128"/>
    <mergeCell ref="A134:A138"/>
    <mergeCell ref="B134:B138"/>
    <mergeCell ref="C134:C138"/>
    <mergeCell ref="D134:D138"/>
    <mergeCell ref="O93:O96"/>
    <mergeCell ref="N93:N96"/>
    <mergeCell ref="O97:O98"/>
    <mergeCell ref="N97:N98"/>
    <mergeCell ref="O99:O101"/>
    <mergeCell ref="N99:N101"/>
    <mergeCell ref="N102:N104"/>
    <mergeCell ref="O102:O104"/>
    <mergeCell ref="N105:N107"/>
    <mergeCell ref="O105:O107"/>
    <mergeCell ref="N108:N110"/>
    <mergeCell ref="O108:O110"/>
    <mergeCell ref="N111:N113"/>
    <mergeCell ref="O111:O113"/>
    <mergeCell ref="A123:A125"/>
    <mergeCell ref="B123:B125"/>
    <mergeCell ref="C123:C125"/>
    <mergeCell ref="D123:D125"/>
    <mergeCell ref="A126:A128"/>
    <mergeCell ref="B126:B128"/>
    <mergeCell ref="C126:C128"/>
    <mergeCell ref="D126:D128"/>
    <mergeCell ref="D129:D133"/>
    <mergeCell ref="C129:C133"/>
    <mergeCell ref="B129:B133"/>
    <mergeCell ref="A129:A133"/>
    <mergeCell ref="A114:A116"/>
    <mergeCell ref="B114:B116"/>
    <mergeCell ref="C114:C116"/>
    <mergeCell ref="D114:D116"/>
    <mergeCell ref="A117:A119"/>
    <mergeCell ref="B117:B119"/>
    <mergeCell ref="C117:C119"/>
    <mergeCell ref="D117:D119"/>
    <mergeCell ref="A120:A122"/>
    <mergeCell ref="B120:B122"/>
    <mergeCell ref="C120:C122"/>
    <mergeCell ref="D120:D122"/>
    <mergeCell ref="E114:E116"/>
    <mergeCell ref="E117:E119"/>
    <mergeCell ref="E120:E122"/>
    <mergeCell ref="E123:E125"/>
    <mergeCell ref="E126:E128"/>
    <mergeCell ref="E129:E133"/>
    <mergeCell ref="E134:E138"/>
    <mergeCell ref="F120:F122"/>
    <mergeCell ref="G120:G122"/>
    <mergeCell ref="H120:H122"/>
    <mergeCell ref="I120:I122"/>
    <mergeCell ref="F123:F125"/>
    <mergeCell ref="G123:G125"/>
    <mergeCell ref="H123:H125"/>
    <mergeCell ref="I123:I125"/>
    <mergeCell ref="F126:F128"/>
    <mergeCell ref="G126:G128"/>
    <mergeCell ref="H126:H128"/>
    <mergeCell ref="I126:I128"/>
    <mergeCell ref="F114:F116"/>
    <mergeCell ref="G114:G116"/>
    <mergeCell ref="H114:H116"/>
    <mergeCell ref="I114:I116"/>
    <mergeCell ref="F117:F119"/>
    <mergeCell ref="G117:G119"/>
    <mergeCell ref="H117:H119"/>
    <mergeCell ref="I117:I119"/>
    <mergeCell ref="F99:F101"/>
    <mergeCell ref="G99:G101"/>
    <mergeCell ref="H99:H101"/>
    <mergeCell ref="I99:I101"/>
    <mergeCell ref="F102:F104"/>
    <mergeCell ref="G102:G104"/>
    <mergeCell ref="H102:H104"/>
    <mergeCell ref="I102:I104"/>
    <mergeCell ref="F105:F107"/>
    <mergeCell ref="G105:G107"/>
    <mergeCell ref="H105:H107"/>
    <mergeCell ref="I105:I107"/>
    <mergeCell ref="F108:F110"/>
    <mergeCell ref="G108:G110"/>
    <mergeCell ref="O71:O74"/>
    <mergeCell ref="D38:D43"/>
    <mergeCell ref="A1:A3"/>
    <mergeCell ref="N75:N78"/>
    <mergeCell ref="O75:O78"/>
    <mergeCell ref="A79:A82"/>
    <mergeCell ref="B79:B82"/>
    <mergeCell ref="C79:C82"/>
    <mergeCell ref="D79:D82"/>
    <mergeCell ref="E79:E82"/>
    <mergeCell ref="F79:F82"/>
    <mergeCell ref="G79:G82"/>
    <mergeCell ref="H79:H82"/>
    <mergeCell ref="I79:I82"/>
    <mergeCell ref="N79:N82"/>
    <mergeCell ref="O79:O82"/>
    <mergeCell ref="A75:A78"/>
    <mergeCell ref="B75:B78"/>
    <mergeCell ref="C75:C78"/>
    <mergeCell ref="D75:D78"/>
    <mergeCell ref="E75:E78"/>
    <mergeCell ref="F75:F78"/>
    <mergeCell ref="G75:G78"/>
    <mergeCell ref="H75:H78"/>
    <mergeCell ref="A71:A74"/>
    <mergeCell ref="B71:B74"/>
    <mergeCell ref="C71:C74"/>
    <mergeCell ref="D71:D74"/>
    <mergeCell ref="E71:E74"/>
    <mergeCell ref="F71:F74"/>
    <mergeCell ref="G71:G74"/>
    <mergeCell ref="H71:H74"/>
    <mergeCell ref="I71:I74"/>
    <mergeCell ref="O60:O64"/>
    <mergeCell ref="A65:A70"/>
    <mergeCell ref="B65:B70"/>
    <mergeCell ref="C65:C70"/>
    <mergeCell ref="D65:D70"/>
    <mergeCell ref="E65:E70"/>
    <mergeCell ref="F65:F70"/>
    <mergeCell ref="G65:G70"/>
    <mergeCell ref="H65:H70"/>
    <mergeCell ref="I65:I70"/>
    <mergeCell ref="A60:A64"/>
    <mergeCell ref="B60:B64"/>
    <mergeCell ref="C60:C64"/>
    <mergeCell ref="D60:D64"/>
    <mergeCell ref="E60:E64"/>
    <mergeCell ref="F60:F64"/>
    <mergeCell ref="G60:G64"/>
    <mergeCell ref="H60:H64"/>
    <mergeCell ref="I60:I64"/>
    <mergeCell ref="N65:N70"/>
    <mergeCell ref="O65:O70"/>
    <mergeCell ref="O56:O59"/>
    <mergeCell ref="N50:N55"/>
    <mergeCell ref="O50:O55"/>
    <mergeCell ref="A50:A55"/>
    <mergeCell ref="B50:B55"/>
    <mergeCell ref="C50:C55"/>
    <mergeCell ref="D50:D55"/>
    <mergeCell ref="E50:E55"/>
    <mergeCell ref="F50:F55"/>
    <mergeCell ref="G50:G55"/>
    <mergeCell ref="H50:H55"/>
    <mergeCell ref="I50:I55"/>
    <mergeCell ref="A56:A59"/>
    <mergeCell ref="B56:B59"/>
    <mergeCell ref="C56:C59"/>
    <mergeCell ref="D56:D59"/>
    <mergeCell ref="E56:E59"/>
    <mergeCell ref="F56:F59"/>
    <mergeCell ref="G56:G59"/>
    <mergeCell ref="H56:H59"/>
    <mergeCell ref="I56:I59"/>
    <mergeCell ref="O44:O49"/>
    <mergeCell ref="A38:A43"/>
    <mergeCell ref="C38:C43"/>
    <mergeCell ref="I38:I43"/>
    <mergeCell ref="G38:G43"/>
    <mergeCell ref="H38:H43"/>
    <mergeCell ref="F38:F43"/>
    <mergeCell ref="N38:N43"/>
    <mergeCell ref="O38:O43"/>
    <mergeCell ref="E38:E43"/>
    <mergeCell ref="B38:B43"/>
    <mergeCell ref="A44:A49"/>
    <mergeCell ref="B44:B49"/>
    <mergeCell ref="C44:C49"/>
    <mergeCell ref="D44:D49"/>
    <mergeCell ref="E44:E49"/>
    <mergeCell ref="F44:F49"/>
    <mergeCell ref="G44:G49"/>
    <mergeCell ref="D34:D37"/>
    <mergeCell ref="E34:E37"/>
    <mergeCell ref="F34:F37"/>
    <mergeCell ref="G34:G37"/>
    <mergeCell ref="H34:H37"/>
    <mergeCell ref="I34:I37"/>
    <mergeCell ref="B22:B23"/>
    <mergeCell ref="B24:B25"/>
    <mergeCell ref="C7:C8"/>
    <mergeCell ref="C9:C10"/>
    <mergeCell ref="C11:C12"/>
    <mergeCell ref="C15:C16"/>
    <mergeCell ref="C13:C14"/>
    <mergeCell ref="C17:C18"/>
    <mergeCell ref="C20:C21"/>
    <mergeCell ref="C22:C23"/>
    <mergeCell ref="C24:C25"/>
    <mergeCell ref="B15:B16"/>
    <mergeCell ref="B13:B14"/>
    <mergeCell ref="B17:B18"/>
    <mergeCell ref="B20:B21"/>
    <mergeCell ref="B7:B8"/>
    <mergeCell ref="B9:B10"/>
    <mergeCell ref="B11:B12"/>
    <mergeCell ref="B1:B3"/>
    <mergeCell ref="C1:C3"/>
    <mergeCell ref="E1:E3"/>
    <mergeCell ref="D20:D21"/>
    <mergeCell ref="F20:F21"/>
    <mergeCell ref="G20:G21"/>
    <mergeCell ref="I20:I21"/>
    <mergeCell ref="I15:I16"/>
    <mergeCell ref="G15:G16"/>
    <mergeCell ref="F15:F16"/>
    <mergeCell ref="I2:I3"/>
    <mergeCell ref="H2:H3"/>
    <mergeCell ref="H5:H6"/>
    <mergeCell ref="G5:G6"/>
    <mergeCell ref="F5:F6"/>
    <mergeCell ref="D5:D6"/>
    <mergeCell ref="E5:E6"/>
    <mergeCell ref="H7:H8"/>
    <mergeCell ref="H9:H10"/>
    <mergeCell ref="H11:H12"/>
    <mergeCell ref="D15:D16"/>
    <mergeCell ref="E11:E12"/>
    <mergeCell ref="G2:G3"/>
    <mergeCell ref="F2:F3"/>
    <mergeCell ref="D13:D14"/>
    <mergeCell ref="F13:F14"/>
    <mergeCell ref="G13:G14"/>
    <mergeCell ref="I13:I14"/>
    <mergeCell ref="D17:D18"/>
    <mergeCell ref="D11:D12"/>
    <mergeCell ref="F11:F12"/>
    <mergeCell ref="F24:F25"/>
    <mergeCell ref="G24:G25"/>
    <mergeCell ref="I24:I25"/>
    <mergeCell ref="E24:E25"/>
    <mergeCell ref="G11:G12"/>
    <mergeCell ref="I11:I12"/>
    <mergeCell ref="H20:H21"/>
    <mergeCell ref="E15:E16"/>
    <mergeCell ref="E13:E14"/>
    <mergeCell ref="E17:E18"/>
    <mergeCell ref="E20:E21"/>
    <mergeCell ref="F17:F18"/>
    <mergeCell ref="G17:G18"/>
    <mergeCell ref="I17:I18"/>
    <mergeCell ref="D1:D3"/>
    <mergeCell ref="D9:D10"/>
    <mergeCell ref="D7:D8"/>
    <mergeCell ref="E7:E8"/>
    <mergeCell ref="O1:O3"/>
    <mergeCell ref="O5:O6"/>
    <mergeCell ref="O7:O8"/>
    <mergeCell ref="O9:O10"/>
    <mergeCell ref="O11:O12"/>
    <mergeCell ref="N1:N3"/>
    <mergeCell ref="M1:M3"/>
    <mergeCell ref="L1:L3"/>
    <mergeCell ref="K2:K3"/>
    <mergeCell ref="F1:K1"/>
    <mergeCell ref="F9:F10"/>
    <mergeCell ref="G9:G10"/>
    <mergeCell ref="I9:I10"/>
    <mergeCell ref="E9:E10"/>
    <mergeCell ref="I5:I6"/>
    <mergeCell ref="F7:F8"/>
    <mergeCell ref="J2:J3"/>
    <mergeCell ref="N7:N8"/>
    <mergeCell ref="N5:N6"/>
    <mergeCell ref="A20:A21"/>
    <mergeCell ref="A22:A23"/>
    <mergeCell ref="A24:A25"/>
    <mergeCell ref="A26:A27"/>
    <mergeCell ref="O13:O14"/>
    <mergeCell ref="O15:O16"/>
    <mergeCell ref="O17:O18"/>
    <mergeCell ref="O20:O21"/>
    <mergeCell ref="O22:O23"/>
    <mergeCell ref="O24:O25"/>
    <mergeCell ref="B26:B27"/>
    <mergeCell ref="C26:C27"/>
    <mergeCell ref="D26:D27"/>
    <mergeCell ref="E26:E27"/>
    <mergeCell ref="F26:F27"/>
    <mergeCell ref="G26:G27"/>
    <mergeCell ref="I26:I27"/>
    <mergeCell ref="O26:O27"/>
    <mergeCell ref="D22:D23"/>
    <mergeCell ref="F22:F23"/>
    <mergeCell ref="G22:G23"/>
    <mergeCell ref="I22:I23"/>
    <mergeCell ref="E22:E23"/>
    <mergeCell ref="D24:D25"/>
    <mergeCell ref="A28:A33"/>
    <mergeCell ref="B28:B33"/>
    <mergeCell ref="C28:C33"/>
    <mergeCell ref="D28:D33"/>
    <mergeCell ref="E28:E33"/>
    <mergeCell ref="F28:F33"/>
    <mergeCell ref="G28:G33"/>
    <mergeCell ref="I28:I33"/>
    <mergeCell ref="O28:O33"/>
    <mergeCell ref="H28:H33"/>
    <mergeCell ref="N28:N33"/>
    <mergeCell ref="O34:O37"/>
    <mergeCell ref="N34:N37"/>
    <mergeCell ref="A34:A37"/>
    <mergeCell ref="B34:B37"/>
    <mergeCell ref="C34:C37"/>
    <mergeCell ref="A5:A6"/>
    <mergeCell ref="A7:A8"/>
    <mergeCell ref="A9:A10"/>
    <mergeCell ref="A11:A12"/>
    <mergeCell ref="H13:H14"/>
    <mergeCell ref="H15:H16"/>
    <mergeCell ref="H17:H18"/>
    <mergeCell ref="N13:N14"/>
    <mergeCell ref="N15:N16"/>
    <mergeCell ref="N17:N18"/>
    <mergeCell ref="A13:A14"/>
    <mergeCell ref="A15:A16"/>
    <mergeCell ref="A17:A18"/>
    <mergeCell ref="G7:G8"/>
    <mergeCell ref="I7:I8"/>
    <mergeCell ref="B5:B6"/>
    <mergeCell ref="C5:C6"/>
    <mergeCell ref="N11:N12"/>
    <mergeCell ref="N9:N10"/>
    <mergeCell ref="N20:N21"/>
    <mergeCell ref="H22:H23"/>
    <mergeCell ref="H24:H25"/>
    <mergeCell ref="H26:H27"/>
    <mergeCell ref="N22:N23"/>
    <mergeCell ref="N24:N25"/>
    <mergeCell ref="N26:N27"/>
    <mergeCell ref="F97:F98"/>
    <mergeCell ref="G97:G98"/>
    <mergeCell ref="H97:H98"/>
    <mergeCell ref="I97:I98"/>
    <mergeCell ref="N83:N84"/>
    <mergeCell ref="N89:N90"/>
    <mergeCell ref="H44:H49"/>
    <mergeCell ref="I44:I49"/>
    <mergeCell ref="N44:N49"/>
    <mergeCell ref="N56:N59"/>
    <mergeCell ref="N60:N64"/>
    <mergeCell ref="N71:N74"/>
    <mergeCell ref="I75:I78"/>
    <mergeCell ref="B83:B84"/>
    <mergeCell ref="C83:C84"/>
    <mergeCell ref="D83:D84"/>
    <mergeCell ref="E83:E84"/>
    <mergeCell ref="A85:A86"/>
    <mergeCell ref="B85:B86"/>
    <mergeCell ref="C85:C86"/>
    <mergeCell ref="D85:D86"/>
    <mergeCell ref="E85:E86"/>
    <mergeCell ref="A91:A92"/>
    <mergeCell ref="B91:B92"/>
    <mergeCell ref="C91:C92"/>
    <mergeCell ref="D91:D92"/>
    <mergeCell ref="E91:E92"/>
    <mergeCell ref="F83:F84"/>
    <mergeCell ref="G83:G84"/>
    <mergeCell ref="H83:H84"/>
    <mergeCell ref="I83:I84"/>
    <mergeCell ref="F89:F90"/>
    <mergeCell ref="G89:G90"/>
    <mergeCell ref="H89:H90"/>
    <mergeCell ref="I89:I90"/>
    <mergeCell ref="A87:A88"/>
    <mergeCell ref="B87:B88"/>
    <mergeCell ref="C87:C88"/>
    <mergeCell ref="D87:D88"/>
    <mergeCell ref="E87:E88"/>
    <mergeCell ref="A89:A90"/>
    <mergeCell ref="B89:B90"/>
    <mergeCell ref="C89:C90"/>
    <mergeCell ref="D89:D90"/>
    <mergeCell ref="E89:E90"/>
    <mergeCell ref="A83:A84"/>
    <mergeCell ref="O83:O84"/>
    <mergeCell ref="F85:F86"/>
    <mergeCell ref="G85:G86"/>
    <mergeCell ref="H85:H86"/>
    <mergeCell ref="I85:I86"/>
    <mergeCell ref="N85:N86"/>
    <mergeCell ref="O85:O86"/>
    <mergeCell ref="F87:F88"/>
    <mergeCell ref="G87:G88"/>
    <mergeCell ref="H87:H88"/>
    <mergeCell ref="I87:I88"/>
    <mergeCell ref="N87:N88"/>
    <mergeCell ref="O87:O88"/>
    <mergeCell ref="O89:O90"/>
    <mergeCell ref="F91:F92"/>
    <mergeCell ref="G91:G92"/>
    <mergeCell ref="H91:H92"/>
    <mergeCell ref="I91:I92"/>
    <mergeCell ref="N91:N92"/>
    <mergeCell ref="O91:O92"/>
    <mergeCell ref="F93:F96"/>
    <mergeCell ref="G93:G96"/>
    <mergeCell ref="H93:H96"/>
    <mergeCell ref="I93:I96"/>
    <mergeCell ref="H108:H110"/>
    <mergeCell ref="I108:I110"/>
    <mergeCell ref="F111:F113"/>
    <mergeCell ref="G111:G113"/>
    <mergeCell ref="H111:H113"/>
    <mergeCell ref="I111:I113"/>
    <mergeCell ref="A93:A96"/>
    <mergeCell ref="B93:B96"/>
    <mergeCell ref="C93:C96"/>
    <mergeCell ref="D93:D96"/>
    <mergeCell ref="E93:E96"/>
    <mergeCell ref="A97:A98"/>
    <mergeCell ref="B97:B98"/>
    <mergeCell ref="C97:C98"/>
    <mergeCell ref="D97:D98"/>
    <mergeCell ref="E97:E98"/>
    <mergeCell ref="A99:A101"/>
    <mergeCell ref="B99:B101"/>
    <mergeCell ref="C99:C101"/>
    <mergeCell ref="D99:D101"/>
    <mergeCell ref="E99:E101"/>
    <mergeCell ref="A102:A104"/>
    <mergeCell ref="B102:B104"/>
    <mergeCell ref="C102:C104"/>
    <mergeCell ref="D102:D104"/>
    <mergeCell ref="E102:E104"/>
    <mergeCell ref="A111:A113"/>
    <mergeCell ref="B111:B113"/>
    <mergeCell ref="C111:C113"/>
    <mergeCell ref="D111:D113"/>
    <mergeCell ref="E111:E113"/>
    <mergeCell ref="A105:A107"/>
    <mergeCell ref="B105:B107"/>
    <mergeCell ref="C105:C107"/>
    <mergeCell ref="D105:D107"/>
    <mergeCell ref="E105:E107"/>
    <mergeCell ref="A108:A110"/>
    <mergeCell ref="B108:B110"/>
    <mergeCell ref="C108:C110"/>
    <mergeCell ref="D108:D110"/>
    <mergeCell ref="E108:E110"/>
  </mergeCells>
  <phoneticPr fontId="1" type="noConversion"/>
  <pageMargins left="0.25" right="0.25" top="0.75" bottom="0.75" header="0.3" footer="0.3"/>
  <pageSetup paperSize="9" scale="4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Fránová Silvie</dc:creator>
  <cp:lastModifiedBy>Ing. Fránová Silvie</cp:lastModifiedBy>
  <cp:lastPrinted>2026-03-26T07:55:17Z</cp:lastPrinted>
  <dcterms:created xsi:type="dcterms:W3CDTF">2026-03-02T09:40:36Z</dcterms:created>
  <dcterms:modified xsi:type="dcterms:W3CDTF">2026-03-30T11:43:54Z</dcterms:modified>
</cp:coreProperties>
</file>